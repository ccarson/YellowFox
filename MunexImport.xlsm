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80" yWindow="360" windowWidth="10950" windowHeight="9210" tabRatio="706" firstSheet="5" activeTab="7"/>
  </bookViews>
  <sheets>
    <sheet name="Import" sheetId="3" r:id="rId1"/>
    <sheet name="Purposes" sheetId="4" r:id="rId2"/>
    <sheet name="Parameters" sheetId="17" r:id="rId3"/>
    <sheet name="__MunexImport_1" sheetId="84" r:id="rId4"/>
    <sheet name="__MunexImport_2" sheetId="85" r:id="rId5"/>
    <sheet name="__MunexImport_3" sheetId="86" r:id="rId6"/>
    <sheet name="__MunexImport_4" sheetId="87" r:id="rId7"/>
    <sheet name="__MunexImport_5" sheetId="88" r:id="rId8"/>
    <sheet name="__MunexImport_6" sheetId="89" r:id="rId9"/>
    <sheet name="__MunexImport_7" sheetId="90" r:id="rId10"/>
    <sheet name="__MunexImport_8" sheetId="91" r:id="rId11"/>
    <sheet name="__MunexImport_9" sheetId="92" r:id="rId12"/>
    <sheet name="__MunexImport_10" sheetId="93" r:id="rId13"/>
    <sheet name="__MunexImport_11" sheetId="94" r:id="rId14"/>
    <sheet name="Issues" sheetId="19" r:id="rId15"/>
  </sheets>
  <functionGroups builtInGroupCount="17"/>
  <definedNames>
    <definedName name="adoDatabase">Parameters!$C$10</definedName>
    <definedName name="adoServer">Parameters!$C$9</definedName>
    <definedName name="connectionTest">Import!$B$23</definedName>
    <definedName name="inputIssueID">Import!$L$9</definedName>
    <definedName name="IssueAmount">Import!$I$13</definedName>
    <definedName name="IssueData">Import!$I$10:$I$14</definedName>
    <definedName name="IssueID">Import!$I$10</definedName>
    <definedName name="IssueName">Import!$I$12</definedName>
    <definedName name="Issuer">Import!$I$11</definedName>
    <definedName name="local__Ehlers_vw_IssuesData" localSheetId="14" hidden="1">Issues!$A$1:$E$2</definedName>
    <definedName name="MunexFile">Import!#REF!</definedName>
    <definedName name="MunexFileName">Import!$I$4</definedName>
    <definedName name="_xlnm.Print_Area" localSheetId="13">__MunexImport_11!$A$1:$X$55</definedName>
    <definedName name="ProductionDatabase">Parameters!$C$6</definedName>
    <definedName name="ProductionServer">Parameters!$C$5</definedName>
    <definedName name="SaleDate">Import!$I$14</definedName>
  </definedNames>
  <calcPr calcId="145621"/>
</workbook>
</file>

<file path=xl/calcChain.xml><?xml version="1.0" encoding="utf-8"?>
<calcChain xmlns="http://schemas.openxmlformats.org/spreadsheetml/2006/main">
  <c r="E53" i="94" l="1"/>
  <c r="F24" i="94"/>
  <c r="F25" i="94" s="1"/>
  <c r="G23" i="94"/>
  <c r="X23" i="94" s="1"/>
  <c r="F22" i="94"/>
  <c r="G22" i="94" s="1"/>
  <c r="C22" i="94"/>
  <c r="C23" i="94" s="1"/>
  <c r="C24" i="94" s="1"/>
  <c r="C25" i="94" s="1"/>
  <c r="C26" i="94" s="1"/>
  <c r="C27" i="94" s="1"/>
  <c r="C28" i="94" s="1"/>
  <c r="C29" i="94" s="1"/>
  <c r="C30" i="94" s="1"/>
  <c r="C31" i="94" s="1"/>
  <c r="C32" i="94" s="1"/>
  <c r="C33" i="94" s="1"/>
  <c r="C34" i="94" s="1"/>
  <c r="C35" i="94" s="1"/>
  <c r="C36" i="94" s="1"/>
  <c r="C37" i="94" s="1"/>
  <c r="C38" i="94" s="1"/>
  <c r="C39" i="94" s="1"/>
  <c r="C40" i="94" s="1"/>
  <c r="C41" i="94" s="1"/>
  <c r="B22" i="94"/>
  <c r="B23" i="94" s="1"/>
  <c r="B24" i="94" s="1"/>
  <c r="B25" i="94" s="1"/>
  <c r="B26" i="94" s="1"/>
  <c r="B27" i="94" s="1"/>
  <c r="B28" i="94" s="1"/>
  <c r="B29" i="94" s="1"/>
  <c r="B30" i="94" s="1"/>
  <c r="B31" i="94" s="1"/>
  <c r="B32" i="94" s="1"/>
  <c r="B33" i="94" s="1"/>
  <c r="B34" i="94" s="1"/>
  <c r="B35" i="94" s="1"/>
  <c r="B36" i="94" s="1"/>
  <c r="B37" i="94" s="1"/>
  <c r="B38" i="94" s="1"/>
  <c r="B39" i="94" s="1"/>
  <c r="B40" i="94" s="1"/>
  <c r="B41" i="94" s="1"/>
  <c r="P17" i="94"/>
  <c r="O17" i="94"/>
  <c r="N17" i="94"/>
  <c r="M17" i="94"/>
  <c r="L17" i="94"/>
  <c r="K17" i="94"/>
  <c r="J17" i="94"/>
  <c r="I17" i="94"/>
  <c r="H17" i="94"/>
  <c r="W22" i="94" l="1"/>
  <c r="U22" i="94"/>
  <c r="S22" i="94"/>
  <c r="Q22" i="94"/>
  <c r="O22" i="94"/>
  <c r="M22" i="94"/>
  <c r="K22" i="94"/>
  <c r="I22" i="94"/>
  <c r="X22" i="94"/>
  <c r="V22" i="94"/>
  <c r="T22" i="94"/>
  <c r="R22" i="94"/>
  <c r="P22" i="94"/>
  <c r="N22" i="94"/>
  <c r="L22" i="94"/>
  <c r="J22" i="94"/>
  <c r="H22" i="94"/>
  <c r="F26" i="94"/>
  <c r="G25" i="94"/>
  <c r="H23" i="94"/>
  <c r="J23" i="94"/>
  <c r="L23" i="94"/>
  <c r="N23" i="94"/>
  <c r="P23" i="94"/>
  <c r="R23" i="94"/>
  <c r="T23" i="94"/>
  <c r="V23" i="94"/>
  <c r="G24" i="94"/>
  <c r="I23" i="94"/>
  <c r="K23" i="94"/>
  <c r="M23" i="94"/>
  <c r="O23" i="94"/>
  <c r="Q23" i="94"/>
  <c r="S23" i="94"/>
  <c r="U23" i="94"/>
  <c r="W23" i="94"/>
  <c r="F27" i="94" l="1"/>
  <c r="G26" i="94"/>
  <c r="X24" i="94"/>
  <c r="V24" i="94"/>
  <c r="T24" i="94"/>
  <c r="R24" i="94"/>
  <c r="P24" i="94"/>
  <c r="N24" i="94"/>
  <c r="L24" i="94"/>
  <c r="J24" i="94"/>
  <c r="H24" i="94"/>
  <c r="W24" i="94"/>
  <c r="U24" i="94"/>
  <c r="S24" i="94"/>
  <c r="Q24" i="94"/>
  <c r="O24" i="94"/>
  <c r="M24" i="94"/>
  <c r="K24" i="94"/>
  <c r="I24" i="94"/>
  <c r="W25" i="94"/>
  <c r="U25" i="94"/>
  <c r="S25" i="94"/>
  <c r="Q25" i="94"/>
  <c r="O25" i="94"/>
  <c r="M25" i="94"/>
  <c r="K25" i="94"/>
  <c r="I25" i="94"/>
  <c r="X25" i="94"/>
  <c r="V25" i="94"/>
  <c r="T25" i="94"/>
  <c r="R25" i="94"/>
  <c r="P25" i="94"/>
  <c r="N25" i="94"/>
  <c r="L25" i="94"/>
  <c r="J25" i="94"/>
  <c r="H25" i="94"/>
  <c r="X26" i="94" l="1"/>
  <c r="V26" i="94"/>
  <c r="W26" i="94"/>
  <c r="T26" i="94"/>
  <c r="R26" i="94"/>
  <c r="P26" i="94"/>
  <c r="N26" i="94"/>
  <c r="L26" i="94"/>
  <c r="J26" i="94"/>
  <c r="H26" i="94"/>
  <c r="U26" i="94"/>
  <c r="S26" i="94"/>
  <c r="Q26" i="94"/>
  <c r="O26" i="94"/>
  <c r="M26" i="94"/>
  <c r="K26" i="94"/>
  <c r="I26" i="94"/>
  <c r="F28" i="94"/>
  <c r="G27" i="94"/>
  <c r="F29" i="94" l="1"/>
  <c r="G28" i="94"/>
  <c r="W27" i="94"/>
  <c r="U27" i="94"/>
  <c r="S27" i="94"/>
  <c r="Q27" i="94"/>
  <c r="O27" i="94"/>
  <c r="M27" i="94"/>
  <c r="K27" i="94"/>
  <c r="I27" i="94"/>
  <c r="X27" i="94"/>
  <c r="V27" i="94"/>
  <c r="T27" i="94"/>
  <c r="R27" i="94"/>
  <c r="P27" i="94"/>
  <c r="N27" i="94"/>
  <c r="L27" i="94"/>
  <c r="J27" i="94"/>
  <c r="H27" i="94"/>
  <c r="X28" i="94" l="1"/>
  <c r="V28" i="94"/>
  <c r="T28" i="94"/>
  <c r="R28" i="94"/>
  <c r="P28" i="94"/>
  <c r="N28" i="94"/>
  <c r="L28" i="94"/>
  <c r="J28" i="94"/>
  <c r="H28" i="94"/>
  <c r="W28" i="94"/>
  <c r="U28" i="94"/>
  <c r="S28" i="94"/>
  <c r="Q28" i="94"/>
  <c r="O28" i="94"/>
  <c r="M28" i="94"/>
  <c r="K28" i="94"/>
  <c r="I28" i="94"/>
  <c r="F30" i="94"/>
  <c r="G29" i="94"/>
  <c r="W29" i="94" l="1"/>
  <c r="U29" i="94"/>
  <c r="S29" i="94"/>
  <c r="Q29" i="94"/>
  <c r="O29" i="94"/>
  <c r="M29" i="94"/>
  <c r="K29" i="94"/>
  <c r="I29" i="94"/>
  <c r="X29" i="94"/>
  <c r="V29" i="94"/>
  <c r="T29" i="94"/>
  <c r="R29" i="94"/>
  <c r="P29" i="94"/>
  <c r="N29" i="94"/>
  <c r="L29" i="94"/>
  <c r="J29" i="94"/>
  <c r="H29" i="94"/>
  <c r="F31" i="94"/>
  <c r="G30" i="94"/>
  <c r="F32" i="94" l="1"/>
  <c r="G31" i="94"/>
  <c r="X30" i="94"/>
  <c r="V30" i="94"/>
  <c r="T30" i="94"/>
  <c r="R30" i="94"/>
  <c r="P30" i="94"/>
  <c r="N30" i="94"/>
  <c r="L30" i="94"/>
  <c r="J30" i="94"/>
  <c r="H30" i="94"/>
  <c r="W30" i="94"/>
  <c r="U30" i="94"/>
  <c r="S30" i="94"/>
  <c r="Q30" i="94"/>
  <c r="O30" i="94"/>
  <c r="M30" i="94"/>
  <c r="K30" i="94"/>
  <c r="I30" i="94"/>
  <c r="W31" i="94" l="1"/>
  <c r="U31" i="94"/>
  <c r="S31" i="94"/>
  <c r="Q31" i="94"/>
  <c r="O31" i="94"/>
  <c r="M31" i="94"/>
  <c r="K31" i="94"/>
  <c r="I31" i="94"/>
  <c r="X31" i="94"/>
  <c r="V31" i="94"/>
  <c r="T31" i="94"/>
  <c r="R31" i="94"/>
  <c r="P31" i="94"/>
  <c r="N31" i="94"/>
  <c r="L31" i="94"/>
  <c r="J31" i="94"/>
  <c r="H31" i="94"/>
  <c r="F33" i="94"/>
  <c r="G32" i="94"/>
  <c r="X32" i="94" l="1"/>
  <c r="V32" i="94"/>
  <c r="T32" i="94"/>
  <c r="R32" i="94"/>
  <c r="P32" i="94"/>
  <c r="N32" i="94"/>
  <c r="L32" i="94"/>
  <c r="J32" i="94"/>
  <c r="H32" i="94"/>
  <c r="W32" i="94"/>
  <c r="U32" i="94"/>
  <c r="S32" i="94"/>
  <c r="Q32" i="94"/>
  <c r="O32" i="94"/>
  <c r="M32" i="94"/>
  <c r="K32" i="94"/>
  <c r="I32" i="94"/>
  <c r="F34" i="94"/>
  <c r="G33" i="94"/>
  <c r="W33" i="94" l="1"/>
  <c r="U33" i="94"/>
  <c r="S33" i="94"/>
  <c r="Q33" i="94"/>
  <c r="O33" i="94"/>
  <c r="M33" i="94"/>
  <c r="K33" i="94"/>
  <c r="I33" i="94"/>
  <c r="X33" i="94"/>
  <c r="V33" i="94"/>
  <c r="T33" i="94"/>
  <c r="R33" i="94"/>
  <c r="P33" i="94"/>
  <c r="N33" i="94"/>
  <c r="L33" i="94"/>
  <c r="J33" i="94"/>
  <c r="H33" i="94"/>
  <c r="F35" i="94"/>
  <c r="G34" i="94"/>
  <c r="X34" i="94" l="1"/>
  <c r="V34" i="94"/>
  <c r="T34" i="94"/>
  <c r="U34" i="94"/>
  <c r="R34" i="94"/>
  <c r="P34" i="94"/>
  <c r="N34" i="94"/>
  <c r="L34" i="94"/>
  <c r="J34" i="94"/>
  <c r="H34" i="94"/>
  <c r="W34" i="94"/>
  <c r="S34" i="94"/>
  <c r="Q34" i="94"/>
  <c r="O34" i="94"/>
  <c r="M34" i="94"/>
  <c r="K34" i="94"/>
  <c r="I34" i="94"/>
  <c r="F36" i="94"/>
  <c r="G35" i="94"/>
  <c r="F37" i="94" l="1"/>
  <c r="G36" i="94"/>
  <c r="W35" i="94"/>
  <c r="U35" i="94"/>
  <c r="S35" i="94"/>
  <c r="Q35" i="94"/>
  <c r="O35" i="94"/>
  <c r="M35" i="94"/>
  <c r="K35" i="94"/>
  <c r="I35" i="94"/>
  <c r="X35" i="94"/>
  <c r="V35" i="94"/>
  <c r="T35" i="94"/>
  <c r="R35" i="94"/>
  <c r="P35" i="94"/>
  <c r="N35" i="94"/>
  <c r="L35" i="94"/>
  <c r="J35" i="94"/>
  <c r="H35" i="94"/>
  <c r="X36" i="94" l="1"/>
  <c r="V36" i="94"/>
  <c r="T36" i="94"/>
  <c r="R36" i="94"/>
  <c r="P36" i="94"/>
  <c r="N36" i="94"/>
  <c r="L36" i="94"/>
  <c r="J36" i="94"/>
  <c r="H36" i="94"/>
  <c r="W36" i="94"/>
  <c r="U36" i="94"/>
  <c r="S36" i="94"/>
  <c r="Q36" i="94"/>
  <c r="O36" i="94"/>
  <c r="M36" i="94"/>
  <c r="K36" i="94"/>
  <c r="I36" i="94"/>
  <c r="F38" i="94"/>
  <c r="G37" i="94"/>
  <c r="W37" i="94" l="1"/>
  <c r="U37" i="94"/>
  <c r="S37" i="94"/>
  <c r="Q37" i="94"/>
  <c r="O37" i="94"/>
  <c r="M37" i="94"/>
  <c r="K37" i="94"/>
  <c r="I37" i="94"/>
  <c r="X37" i="94"/>
  <c r="V37" i="94"/>
  <c r="T37" i="94"/>
  <c r="R37" i="94"/>
  <c r="P37" i="94"/>
  <c r="N37" i="94"/>
  <c r="L37" i="94"/>
  <c r="J37" i="94"/>
  <c r="H37" i="94"/>
  <c r="F39" i="94"/>
  <c r="G38" i="94"/>
  <c r="X38" i="94" l="1"/>
  <c r="X53" i="94" s="1"/>
  <c r="V38" i="94"/>
  <c r="V53" i="94" s="1"/>
  <c r="T38" i="94"/>
  <c r="T53" i="94" s="1"/>
  <c r="R38" i="94"/>
  <c r="R53" i="94" s="1"/>
  <c r="P38" i="94"/>
  <c r="P53" i="94" s="1"/>
  <c r="N38" i="94"/>
  <c r="N53" i="94" s="1"/>
  <c r="L38" i="94"/>
  <c r="L53" i="94" s="1"/>
  <c r="J38" i="94"/>
  <c r="J53" i="94" s="1"/>
  <c r="H38" i="94"/>
  <c r="H53" i="94" s="1"/>
  <c r="W38" i="94"/>
  <c r="W53" i="94" s="1"/>
  <c r="U38" i="94"/>
  <c r="U53" i="94" s="1"/>
  <c r="S38" i="94"/>
  <c r="S53" i="94" s="1"/>
  <c r="Q38" i="94"/>
  <c r="Q53" i="94" s="1"/>
  <c r="O38" i="94"/>
  <c r="O53" i="94" s="1"/>
  <c r="M38" i="94"/>
  <c r="M53" i="94" s="1"/>
  <c r="K38" i="94"/>
  <c r="K53" i="94" s="1"/>
  <c r="I38" i="94"/>
  <c r="I53" i="94" s="1"/>
  <c r="G53" i="94"/>
  <c r="F40" i="94"/>
  <c r="G39" i="94"/>
  <c r="F4" i="4"/>
  <c r="G7" i="4"/>
  <c r="B4" i="4"/>
  <c r="B3" i="4"/>
  <c r="B2" i="4"/>
  <c r="W39" i="94" l="1"/>
  <c r="U39" i="94"/>
  <c r="S39" i="94"/>
  <c r="Q39" i="94"/>
  <c r="X39" i="94"/>
  <c r="V39" i="94"/>
  <c r="T39" i="94"/>
  <c r="R39" i="94"/>
  <c r="K39" i="94"/>
  <c r="O39" i="94"/>
  <c r="J39" i="94"/>
  <c r="N39" i="94"/>
  <c r="I39" i="94"/>
  <c r="M39" i="94"/>
  <c r="H39" i="94"/>
  <c r="L39" i="94"/>
  <c r="P39" i="94"/>
  <c r="F41" i="94"/>
  <c r="G41" i="94" s="1"/>
  <c r="G40" i="94"/>
  <c r="X40" i="94" l="1"/>
  <c r="V40" i="94"/>
  <c r="T40" i="94"/>
  <c r="R40" i="94"/>
  <c r="W40" i="94"/>
  <c r="U40" i="94"/>
  <c r="S40" i="94"/>
  <c r="Q40" i="94"/>
  <c r="I40" i="94"/>
  <c r="M40" i="94"/>
  <c r="J40" i="94"/>
  <c r="N40" i="94"/>
  <c r="K40" i="94"/>
  <c r="O40" i="94"/>
  <c r="H40" i="94"/>
  <c r="L40" i="94"/>
  <c r="P40" i="94"/>
  <c r="W41" i="94"/>
  <c r="U41" i="94"/>
  <c r="S41" i="94"/>
  <c r="Q41" i="94"/>
  <c r="X41" i="94"/>
  <c r="V41" i="94"/>
  <c r="T41" i="94"/>
  <c r="R41" i="94"/>
  <c r="I41" i="94"/>
  <c r="M41" i="94"/>
  <c r="H41" i="94"/>
  <c r="L41" i="94"/>
  <c r="P41" i="94"/>
  <c r="K41" i="94"/>
  <c r="O41" i="94"/>
  <c r="J41" i="94"/>
  <c r="N41" i="94"/>
</calcChain>
</file>

<file path=xl/connections.xml><?xml version="1.0" encoding="utf-8"?>
<connections xmlns="http://schemas.openxmlformats.org/spreadsheetml/2006/main">
  <connection id="1" keepAlive="1" name="(local) Ehlers vw_IssuesData" type="5" refreshedVersion="4" background="1" saveData="1">
    <dbPr connection="Provider=SQLOLEDB.1;Integrated Security=SSPI;Persist Security Info=True;Initial Catalog=Ehlers;Data Source=(local);Use Procedure for Prepare=1;Auto Translate=True;Packet Size=4096;Workstation ID=MNDT0368;Use Encryption for Data=False;Tag with column collation when possible=False" command="SELECT * FROM Import.vw_IssuesData WHERE IssueID = 12345"/>
  </connection>
</connections>
</file>

<file path=xl/sharedStrings.xml><?xml version="1.0" encoding="utf-8"?>
<sst xmlns="http://schemas.openxmlformats.org/spreadsheetml/2006/main" count="443" uniqueCount="169">
  <si>
    <t>Ehlers</t>
  </si>
  <si>
    <t>Workbook Parameters</t>
  </si>
  <si>
    <t>ProductionServer</t>
  </si>
  <si>
    <t>ProductionDatabase</t>
  </si>
  <si>
    <t>VariableName</t>
  </si>
  <si>
    <t>Value</t>
  </si>
  <si>
    <t>EHLERS-SS3</t>
  </si>
  <si>
    <t>adoServer</t>
  </si>
  <si>
    <t>adoDatabase</t>
  </si>
  <si>
    <t>Step 1</t>
  </si>
  <si>
    <t>Step 2</t>
  </si>
  <si>
    <t>Step 3</t>
  </si>
  <si>
    <t>Step 4</t>
  </si>
  <si>
    <t>Purpose 1</t>
  </si>
  <si>
    <t>Purpose 2</t>
  </si>
  <si>
    <t>Purpose 3</t>
  </si>
  <si>
    <t>Purpose 4</t>
  </si>
  <si>
    <t>Purpose 5</t>
  </si>
  <si>
    <t>Purpose 6</t>
  </si>
  <si>
    <t>Purpose 7</t>
  </si>
  <si>
    <t>Purpose 8</t>
  </si>
  <si>
    <t>Purpose 9</t>
  </si>
  <si>
    <t>Purpose 10</t>
  </si>
  <si>
    <t>Step 5</t>
  </si>
  <si>
    <t>Load data into Ehlers system</t>
  </si>
  <si>
    <t>Step 6</t>
  </si>
  <si>
    <t>Review exported data in Ehlers system</t>
  </si>
  <si>
    <t>Test SQL Server Connection</t>
  </si>
  <si>
    <t>(local)</t>
  </si>
  <si>
    <t>IssueID</t>
  </si>
  <si>
    <t>IssueName</t>
  </si>
  <si>
    <t>Amount</t>
  </si>
  <si>
    <t>SaleDate</t>
  </si>
  <si>
    <t>Cops</t>
  </si>
  <si>
    <t>Columbia Heights</t>
  </si>
  <si>
    <t>1992-11-09</t>
  </si>
  <si>
    <t>Issuer</t>
  </si>
  <si>
    <t>Select the Munex file containing the issue you want to import into Ehlers system</t>
  </si>
  <si>
    <t>Sale Date :</t>
  </si>
  <si>
    <t>Issuer :</t>
  </si>
  <si>
    <t>Name :</t>
  </si>
  <si>
    <t>Amount :</t>
  </si>
  <si>
    <t xml:space="preserve">Does the Ehlers data match the data you imported from Munex? </t>
  </si>
  <si>
    <t>Munex File :</t>
  </si>
  <si>
    <t>Issue ID :</t>
  </si>
  <si>
    <t>Confirm each purpose name in the issue.  Make any desired changes</t>
  </si>
  <si>
    <t>Enter the Ehlers IssueID and select issue data from Ehlers system</t>
  </si>
  <si>
    <t xml:space="preserve"> </t>
  </si>
  <si>
    <t xml:space="preserve">   </t>
  </si>
  <si>
    <t xml:space="preserve">City of Dawson, Minnesota </t>
  </si>
  <si>
    <t xml:space="preserve">$1,565,000 </t>
  </si>
  <si>
    <t xml:space="preserve">General Obligation Improvement Bonds, Series 2012B </t>
  </si>
  <si>
    <t/>
  </si>
  <si>
    <t xml:space="preserve">Sources &amp; Uses </t>
  </si>
  <si>
    <t xml:space="preserve"> Dated 05/24/2012 |  Delivered 05/24/2012</t>
  </si>
  <si>
    <t xml:space="preserve">Sources Of Funds </t>
  </si>
  <si>
    <t>Par Amount of Bonds</t>
  </si>
  <si>
    <t xml:space="preserve">Total Sources </t>
  </si>
  <si>
    <t xml:space="preserve">Uses Of Funds </t>
  </si>
  <si>
    <t>Deposit to Project Construction Fund</t>
  </si>
  <si>
    <t>Deposit to Capitalized Interest (CIF) Fund</t>
  </si>
  <si>
    <t>Costs of Issuance</t>
  </si>
  <si>
    <t>Total Underwriter's Discount  (1.000%)</t>
  </si>
  <si>
    <t>Deposit to Project Fund (Rounding Amount)</t>
  </si>
  <si>
    <t xml:space="preserve">Total Uses </t>
  </si>
  <si>
    <t>Series 2012B GO Improveme  |  SINGLE PURPOSE  |  5/ 1/2012  |  11:26 AM</t>
  </si>
  <si>
    <t xml:space="preserve">  </t>
  </si>
  <si>
    <t xml:space="preserve">Debt Service Schedule </t>
  </si>
  <si>
    <t>Date</t>
  </si>
  <si>
    <t>Principal</t>
  </si>
  <si>
    <t>Coupon</t>
  </si>
  <si>
    <t>Interest</t>
  </si>
  <si>
    <t>Total P+I</t>
  </si>
  <si>
    <t>105% Overlevy</t>
  </si>
  <si>
    <t>Fiscal Total</t>
  </si>
  <si>
    <t xml:space="preserve">Significant Dates </t>
  </si>
  <si>
    <t>Dated</t>
  </si>
  <si>
    <t>First Coupon Date</t>
  </si>
  <si>
    <t xml:space="preserve">Yield Statistics </t>
  </si>
  <si>
    <t>Bond Year Dollars</t>
  </si>
  <si>
    <t>Average Life</t>
  </si>
  <si>
    <t>Average Coupon</t>
  </si>
  <si>
    <t>Net Interest Cost (NIC)</t>
  </si>
  <si>
    <t>True Interest Cost (TIC)</t>
  </si>
  <si>
    <t>Bond Yield for Arbitrage Purposes</t>
  </si>
  <si>
    <t>All Inclusive Cost (AIC)</t>
  </si>
  <si>
    <t xml:space="preserve">IRS Form 8038 </t>
  </si>
  <si>
    <t>Net Interest Cost</t>
  </si>
  <si>
    <t>Weighted Average Maturity</t>
  </si>
  <si>
    <t xml:space="preserve">Net Debt Service Schedule </t>
  </si>
  <si>
    <t>CIF</t>
  </si>
  <si>
    <t>Net New D/S</t>
  </si>
  <si>
    <t xml:space="preserve">Pricing Summary </t>
  </si>
  <si>
    <t>Maturity</t>
  </si>
  <si>
    <t>Type of Bond</t>
  </si>
  <si>
    <t>Yield</t>
  </si>
  <si>
    <t>Maturity Value</t>
  </si>
  <si>
    <t>Price</t>
  </si>
  <si>
    <t>Dollar Price</t>
  </si>
  <si>
    <t>Serial Coupon</t>
  </si>
  <si>
    <t xml:space="preserve">Bid Information </t>
  </si>
  <si>
    <t xml:space="preserve">Gross Production </t>
  </si>
  <si>
    <t>Bid (99.000%)</t>
  </si>
  <si>
    <t xml:space="preserve">Total Purchase Price </t>
  </si>
  <si>
    <t xml:space="preserve">Proof Of Bond Yield @ 2.4476117% </t>
  </si>
  <si>
    <t>Cashflow</t>
  </si>
  <si>
    <t>PV Factor</t>
  </si>
  <si>
    <t>Present Value</t>
  </si>
  <si>
    <t>Cumulative PV</t>
  </si>
  <si>
    <t xml:space="preserve">Derivation Of Target Amount </t>
  </si>
  <si>
    <t xml:space="preserve">Original Issue Proceeds </t>
  </si>
  <si>
    <t xml:space="preserve">Derivation Of Form 8038 Yield Statistics </t>
  </si>
  <si>
    <t>Issuance Value</t>
  </si>
  <si>
    <t>Issuance Price</t>
  </si>
  <si>
    <t>Exponent</t>
  </si>
  <si>
    <t>Bond Years</t>
  </si>
  <si>
    <t xml:space="preserve">Weighted Average Maturity = Bond Years/Issue Price </t>
  </si>
  <si>
    <t>Total Interest from Debt Service</t>
  </si>
  <si>
    <t>Total Interest</t>
  </si>
  <si>
    <t>NIC = Interest / (Issue Price * Average Maturity)</t>
  </si>
  <si>
    <t xml:space="preserve">Operation Of Project Construction Fund </t>
  </si>
  <si>
    <t>Rate</t>
  </si>
  <si>
    <t>Receipts</t>
  </si>
  <si>
    <t>Disbursements</t>
  </si>
  <si>
    <t>Cash Balance</t>
  </si>
  <si>
    <t xml:space="preserve">Investment Parameters </t>
  </si>
  <si>
    <t>Investment Model [PV, GIC, or Securities]</t>
  </si>
  <si>
    <t>Default investment yield target</t>
  </si>
  <si>
    <t>Cost of Investments Purchased with Bond Proceeds</t>
  </si>
  <si>
    <t>Total Cost of Investments</t>
  </si>
  <si>
    <t>Target Cost of Investments at bond yield</t>
  </si>
  <si>
    <t>Yield to Receipt</t>
  </si>
  <si>
    <t>Yield for Arbitrage Purposes</t>
  </si>
  <si>
    <t xml:space="preserve">Detail Costs Of Issuance </t>
  </si>
  <si>
    <t xml:space="preserve">COSTS OF ISSUANCE DETAIL </t>
  </si>
  <si>
    <t>Financial Advisor</t>
  </si>
  <si>
    <t>Paying Agent (Bond Trust Services)</t>
  </si>
  <si>
    <t>Bond Counsel (Kennedy &amp; Graven)</t>
  </si>
  <si>
    <t>Rating Agency Fee (S&amp;P)</t>
  </si>
  <si>
    <t xml:space="preserve">TOTAL </t>
  </si>
  <si>
    <t>105% of Total</t>
  </si>
  <si>
    <t>Assessments</t>
  </si>
  <si>
    <t>Levy Required</t>
  </si>
  <si>
    <t>Series 2012B GO Improveme  |  SINGLE PURPOSE  |  5/ 1/2012  |  11:28 AM</t>
  </si>
  <si>
    <t xml:space="preserve">$500,000 </t>
  </si>
  <si>
    <t xml:space="preserve">Assessments </t>
  </si>
  <si>
    <t xml:space="preserve">Filing Date </t>
  </si>
  <si>
    <t xml:space="preserve">First Payment Date </t>
  </si>
  <si>
    <t>City of Dawson Minnesota</t>
  </si>
  <si>
    <t>General Obligation Improvement Bonds, Series 2012B</t>
  </si>
  <si>
    <t>Levy &amp;  Taxes</t>
  </si>
  <si>
    <t>Fiscal Disparities %</t>
  </si>
  <si>
    <t>Residental Homestead</t>
  </si>
  <si>
    <t>Apartments (Rental Housing)</t>
  </si>
  <si>
    <t>Commercial/Industrial</t>
  </si>
  <si>
    <t>Estimated Annual Tax Increase</t>
  </si>
  <si>
    <t>Estimated Market Value</t>
  </si>
  <si>
    <t>Tax</t>
  </si>
  <si>
    <t>Taxable Market Value</t>
  </si>
  <si>
    <t>Levy</t>
  </si>
  <si>
    <t>Collect</t>
  </si>
  <si>
    <t xml:space="preserve">Payment </t>
  </si>
  <si>
    <t>Net</t>
  </si>
  <si>
    <t>TMV with Value Exclusion</t>
  </si>
  <si>
    <t>Year</t>
  </si>
  <si>
    <t>TNTC</t>
  </si>
  <si>
    <t>Increase</t>
  </si>
  <si>
    <t>Averages:</t>
  </si>
  <si>
    <t>C:\Users\ccarson\Desktop\BISUM\FINAL - Series 2012B GO Improvement Bonds.xlsx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</si>
</sst>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&quot;$&quot;#,##0.00"/>
    <numFmt numFmtId="165" formatCode="&quot; &quot;\ \ \ \ \ \ \ \ \ \ \ \ \ \ \ \ \ \ \ \ \ \ \ \ \ \ \ \ \ \ \ \ \ \ \ \ \ \ \ \ \ \ \ \ \ \ \ \ \ \ \ \ \ \ \ \ \ "/>
    <numFmt numFmtId="166" formatCode="&quot;$&quot;###,###,###,##0.00;&quot;$(&quot;###,###,###,##0.00&quot;)&quot;;&quot;-&quot;;\ \ \ \ \ \ \ \ "/>
    <numFmt numFmtId="167" formatCode="###,###,###,##0.00;&quot;(&quot;###,###,###,##0.00&quot;)&quot;;&quot;-&quot;;\ \ \ \ \ \ \ \ \ \ \ \ "/>
    <numFmt numFmtId="168" formatCode="mm/dd/yyyy"/>
    <numFmt numFmtId="169" formatCode="###,###,###,##0.00;\(###,###,###,##0.00\);&quot;-&quot;;\ "/>
    <numFmt numFmtId="170" formatCode="####0.000&quot;%&quot;;\-####0.000&quot;%&quot;;&quot;-&quot;;\ \ \ \ \ \ \ \ \ \ \ \ \ \ "/>
    <numFmt numFmtId="171" formatCode="#0&quot;/&quot;00&quot;/&quot;0000;;&quot;Total&quot;;\ \ \ \ \ \ \ \ \ \ \ \ \ \ \ \ \ \ \ \ \ "/>
    <numFmt numFmtId="172" formatCode="&quot;$&quot;###,###,###,##0.00;\(###,###,###,##0.00\);&quot;-&quot;;\ "/>
    <numFmt numFmtId="173" formatCode="&quot;-&quot;"/>
    <numFmt numFmtId="174" formatCode="#0&quot;/&quot;00&quot;/&quot;0000;;;\ \ \ \ \ \ \ \ \ \ \ \ \ \ \ \ \ \ \ \ \ \ \ \ \ \ \ \ \ \ \ \ \ \ \ \ \ \ \ \ \ \ \ "/>
    <numFmt numFmtId="175" formatCode="#,###,###,###,##0.000&quot; Years&quot;;;&quot;-&quot;;\ \ \ \ \ \ \ \ \ \ \ \ \ \ \ \ \ \ \ \ \ \ \ \ \ "/>
    <numFmt numFmtId="176" formatCode="#########0.0000000&quot;%&quot;;\-#########0.0000000&quot;%&quot;;&quot;-&quot;;\ \ \ \ \ \ \ \ \ \ \ "/>
    <numFmt numFmtId="177" formatCode=";;"/>
    <numFmt numFmtId="178" formatCode="&quot;c&quot;;&quot; &quot;;&quot; &quot;;\ \ \ \ \ \ \ \ \ \ \ \ \ \ \ \ \ \ \ \ \ \ \ \ \ \ \ \ \ \ \ \ \ "/>
    <numFmt numFmtId="179" formatCode="####0.0000000&quot;x&quot;;\-####0.0000000;&quot;-&quot;;\ \ \ \ \ \ \ \ \ "/>
    <numFmt numFmtId="180" formatCode="#####0.0000000&quot;%&quot;;\-#####0.0000000&quot;%&quot;;&quot;-&quot;;\ \ \ \ "/>
    <numFmt numFmtId="181" formatCode="&quot;GIC&quot;;&quot;Securities&quot;;&quot;PV Discount&quot;;\ \ \ \ \ \ \ \ \ \ \ \ \ \ \ \ \ \ \ \ \ \ \ \ \ \ \ "/>
    <numFmt numFmtId="182" formatCode="&quot;Bond Yield&quot;;&quot;Unrestricted&quot;;&quot;AIC&quot;;\ \ \ \ \ \ \ \ \ \ \ \ \ \ \ \ \ \ \ \ \ \ \ \ \ \ "/>
    <numFmt numFmtId="183" formatCode="&quot;$&quot;###,###,###,##0.00;&quot;$&quot;##0.00&quot;/1000&quot;;&quot;-&quot;;\ \ \ \ \ \ \ \ \ \ \ \ \ \ \ \ \ "/>
    <numFmt numFmtId="184" formatCode="_(* #,##0_);_(* \(#,##0\);_(* &quot;-&quot;??_);_(@_)"/>
    <numFmt numFmtId="185" formatCode="0.0000%"/>
    <numFmt numFmtId="186" formatCode="0.00_);\(0.00\)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i/>
      <u/>
      <sz val="8"/>
      <color theme="4" tint="0.3999755851924192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sz val="8"/>
      <name val="Arial"/>
      <family val="2"/>
    </font>
    <font>
      <b/>
      <sz val="16"/>
      <color indexed="18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color indexed="18"/>
      <name val="Arial"/>
      <family val="2"/>
    </font>
    <font>
      <b/>
      <sz val="8"/>
      <name val="Arial"/>
      <family val="2"/>
    </font>
    <font>
      <b/>
      <sz val="9"/>
      <color indexed="1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6"/>
      <name val="Microsoft Sans Serif"/>
      <family val="2"/>
    </font>
    <font>
      <sz val="14"/>
      <name val="Microsoft Sans Serif"/>
      <family val="2"/>
    </font>
    <font>
      <sz val="10"/>
      <name val="Microsoft Sans Serif"/>
      <family val="2"/>
    </font>
    <font>
      <sz val="12"/>
      <name val="SWISS"/>
    </font>
    <font>
      <b/>
      <sz val="14"/>
      <name val="Arial"/>
      <family val="2"/>
    </font>
    <font>
      <b/>
      <sz val="11"/>
      <color indexed="9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6"/>
      </left>
      <right/>
      <top style="thick">
        <color indexed="16"/>
      </top>
      <bottom/>
      <diagonal/>
    </border>
    <border>
      <left/>
      <right/>
      <top style="thick">
        <color indexed="16"/>
      </top>
      <bottom/>
      <diagonal/>
    </border>
    <border>
      <left/>
      <right style="thick">
        <color indexed="16"/>
      </right>
      <top style="thick">
        <color indexed="16"/>
      </top>
      <bottom/>
      <diagonal/>
    </border>
    <border>
      <left style="thick">
        <color indexed="16"/>
      </left>
      <right/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/>
      <right style="thick">
        <color indexed="16"/>
      </right>
      <top/>
      <bottom style="thick">
        <color theme="5" tint="-0.499984740745262"/>
      </bottom>
      <diagonal/>
    </border>
    <border>
      <left style="thick">
        <color theme="5" tint="-0.499984740745262"/>
      </left>
      <right/>
      <top style="thick">
        <color theme="5" tint="-0.499984740745262"/>
      </top>
      <bottom/>
      <diagonal/>
    </border>
    <border>
      <left/>
      <right/>
      <top style="thick">
        <color theme="5" tint="-0.499984740745262"/>
      </top>
      <bottom/>
      <diagonal/>
    </border>
    <border>
      <left/>
      <right style="thin">
        <color theme="5" tint="-0.499984740745262"/>
      </right>
      <top style="thick">
        <color theme="5" tint="-0.499984740745262"/>
      </top>
      <bottom/>
      <diagonal/>
    </border>
    <border>
      <left style="thin">
        <color theme="5" tint="-0.499984740745262"/>
      </left>
      <right/>
      <top style="thick">
        <color theme="5" tint="-0.499984740745262"/>
      </top>
      <bottom/>
      <diagonal/>
    </border>
    <border>
      <left/>
      <right style="thick">
        <color theme="5" tint="-0.499984740745262"/>
      </right>
      <top style="thick">
        <color theme="5" tint="-0.499984740745262"/>
      </top>
      <bottom/>
      <diagonal/>
    </border>
    <border>
      <left style="thick">
        <color theme="5" tint="-0.499984740745262"/>
      </left>
      <right/>
      <top/>
      <bottom/>
      <diagonal/>
    </border>
    <border>
      <left/>
      <right style="thin">
        <color theme="5" tint="-0.499984740745262"/>
      </right>
      <top/>
      <bottom/>
      <diagonal/>
    </border>
    <border>
      <left style="thin">
        <color theme="5" tint="-0.499984740745262"/>
      </left>
      <right/>
      <top/>
      <bottom/>
      <diagonal/>
    </border>
    <border>
      <left/>
      <right style="thick">
        <color theme="5" tint="-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theme="5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5" tint="-0.499984740745262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5" tint="-0.499984740745262"/>
      </right>
      <top/>
      <bottom style="thin">
        <color theme="0" tint="-0.499984740745262"/>
      </bottom>
      <diagonal/>
    </border>
    <border>
      <left/>
      <right style="thick">
        <color theme="5" tint="-0.499984740745262"/>
      </right>
      <top/>
      <bottom style="thin">
        <color theme="0" tint="-0.499984740745262"/>
      </bottom>
      <diagonal/>
    </border>
    <border>
      <left style="thick">
        <color theme="5" tint="-0.499984740745262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theme="5" tint="-0.499984740745262"/>
      </right>
      <top style="thin">
        <color indexed="64"/>
      </top>
      <bottom style="double">
        <color indexed="64"/>
      </bottom>
      <diagonal/>
    </border>
    <border>
      <left/>
      <right style="thick">
        <color theme="5" tint="-0.499984740745262"/>
      </right>
      <top style="thin">
        <color indexed="64"/>
      </top>
      <bottom style="double">
        <color indexed="64"/>
      </bottom>
      <diagonal/>
    </border>
    <border>
      <left style="thick">
        <color theme="5" tint="-0.499984740745262"/>
      </left>
      <right/>
      <top/>
      <bottom style="thick">
        <color theme="5" tint="-0.499984740745262"/>
      </bottom>
      <diagonal/>
    </border>
    <border>
      <left/>
      <right style="thin">
        <color theme="5" tint="-0.499984740745262"/>
      </right>
      <top/>
      <bottom style="thick">
        <color theme="5" tint="-0.499984740745262"/>
      </bottom>
      <diagonal/>
    </border>
    <border>
      <left style="thin">
        <color theme="5" tint="-0.499984740745262"/>
      </left>
      <right/>
      <top/>
      <bottom style="thick">
        <color theme="5" tint="-0.499984740745262"/>
      </bottom>
      <diagonal/>
    </border>
    <border>
      <left/>
      <right style="thick">
        <color theme="5" tint="-0.499984740745262"/>
      </right>
      <top/>
      <bottom style="thick">
        <color theme="5" tint="-0.499984740745262"/>
      </bottom>
      <diagonal/>
    </border>
  </borders>
  <cellStyleXfs count="8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19" fillId="0" borderId="0"/>
  </cellStyleXfs>
  <cellXfs count="186">
    <xf numFmtId="0" fontId="0" fillId="0" borderId="0" xfId="0"/>
    <xf numFmtId="0" fontId="0" fillId="0" borderId="0" xfId="0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Fill="1"/>
    <xf numFmtId="14" fontId="0" fillId="0" borderId="0" xfId="0" applyNumberFormat="1"/>
    <xf numFmtId="0" fontId="0" fillId="0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1" fillId="0" borderId="0" xfId="1"/>
    <xf numFmtId="0" fontId="7" fillId="0" borderId="0" xfId="1" applyFont="1" applyFill="1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9" fillId="0" borderId="1" xfId="1" applyFont="1" applyFill="1" applyBorder="1" applyAlignment="1">
      <alignment horizontal="left"/>
    </xf>
    <xf numFmtId="0" fontId="10" fillId="0" borderId="0" xfId="1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12" fillId="0" borderId="0" xfId="1" applyFont="1" applyFill="1" applyBorder="1" applyAlignment="1">
      <alignment horizontal="right"/>
    </xf>
    <xf numFmtId="0" fontId="11" fillId="0" borderId="2" xfId="1" applyFont="1" applyFill="1" applyBorder="1" applyAlignment="1">
      <alignment horizontal="left"/>
    </xf>
    <xf numFmtId="0" fontId="12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49" fontId="13" fillId="0" borderId="2" xfId="1" applyNumberFormat="1" applyFont="1" applyFill="1" applyBorder="1" applyAlignment="1">
      <alignment horizontal="left"/>
    </xf>
    <xf numFmtId="165" fontId="13" fillId="0" borderId="2" xfId="1" applyNumberFormat="1" applyFont="1" applyFill="1" applyBorder="1" applyAlignment="1">
      <alignment horizontal="left"/>
    </xf>
    <xf numFmtId="49" fontId="14" fillId="0" borderId="0" xfId="1" applyNumberFormat="1" applyFont="1" applyFill="1" applyBorder="1" applyAlignment="1"/>
    <xf numFmtId="166" fontId="14" fillId="0" borderId="0" xfId="1" applyNumberFormat="1" applyFont="1" applyFill="1" applyBorder="1" applyAlignment="1"/>
    <xf numFmtId="49" fontId="1" fillId="0" borderId="0" xfId="1" applyNumberFormat="1" applyBorder="1"/>
    <xf numFmtId="165" fontId="14" fillId="0" borderId="0" xfId="1" applyNumberFormat="1" applyFont="1" applyFill="1" applyBorder="1" applyAlignment="1"/>
    <xf numFmtId="49" fontId="15" fillId="0" borderId="0" xfId="1" applyNumberFormat="1" applyFont="1" applyFill="1" applyBorder="1" applyAlignment="1"/>
    <xf numFmtId="166" fontId="15" fillId="0" borderId="0" xfId="1" applyNumberFormat="1" applyFont="1" applyFill="1" applyBorder="1" applyAlignment="1"/>
    <xf numFmtId="165" fontId="14" fillId="0" borderId="2" xfId="1" applyNumberFormat="1" applyFont="1" applyFill="1" applyBorder="1" applyAlignment="1"/>
    <xf numFmtId="167" fontId="14" fillId="0" borderId="0" xfId="1" applyNumberFormat="1" applyFont="1" applyFill="1" applyBorder="1" applyAlignment="1"/>
    <xf numFmtId="49" fontId="16" fillId="0" borderId="3" xfId="1" applyNumberFormat="1" applyFont="1" applyFill="1" applyBorder="1" applyAlignment="1">
      <alignment horizontal="left" vertical="top"/>
    </xf>
    <xf numFmtId="49" fontId="17" fillId="0" borderId="0" xfId="1" applyNumberFormat="1" applyFont="1" applyFill="1" applyBorder="1" applyAlignment="1"/>
    <xf numFmtId="0" fontId="17" fillId="0" borderId="0" xfId="1" applyFont="1" applyFill="1" applyBorder="1" applyAlignment="1"/>
    <xf numFmtId="0" fontId="18" fillId="0" borderId="0" xfId="1" applyFont="1" applyFill="1" applyBorder="1" applyAlignment="1">
      <alignment horizontal="left"/>
    </xf>
    <xf numFmtId="0" fontId="12" fillId="0" borderId="0" xfId="1" applyFont="1" applyFill="1" applyBorder="1" applyAlignment="1">
      <alignment horizontal="left"/>
    </xf>
    <xf numFmtId="0" fontId="10" fillId="0" borderId="0" xfId="1" applyFont="1" applyFill="1" applyAlignment="1">
      <alignment horizontal="left"/>
    </xf>
    <xf numFmtId="0" fontId="13" fillId="0" borderId="0" xfId="1" applyFont="1" applyFill="1" applyBorder="1" applyAlignment="1">
      <alignment horizontal="right" wrapText="1"/>
    </xf>
    <xf numFmtId="0" fontId="14" fillId="0" borderId="1" xfId="1" applyFont="1" applyFill="1" applyBorder="1" applyAlignment="1"/>
    <xf numFmtId="0" fontId="14" fillId="0" borderId="0" xfId="1" applyFont="1" applyFill="1" applyBorder="1" applyAlignment="1"/>
    <xf numFmtId="0" fontId="14" fillId="0" borderId="0" xfId="1" applyFont="1" applyFill="1" applyAlignment="1"/>
    <xf numFmtId="168" fontId="14" fillId="0" borderId="0" xfId="1" applyNumberFormat="1" applyFont="1" applyFill="1" applyBorder="1" applyAlignment="1"/>
    <xf numFmtId="168" fontId="14" fillId="0" borderId="0" xfId="1" applyNumberFormat="1" applyFont="1" applyFill="1" applyAlignment="1"/>
    <xf numFmtId="169" fontId="14" fillId="0" borderId="0" xfId="1" applyNumberFormat="1" applyFont="1" applyFill="1" applyAlignment="1"/>
    <xf numFmtId="170" fontId="14" fillId="0" borderId="0" xfId="1" applyNumberFormat="1" applyFont="1" applyFill="1" applyAlignment="1"/>
    <xf numFmtId="169" fontId="14" fillId="0" borderId="0" xfId="1" applyNumberFormat="1" applyFont="1" applyFill="1" applyBorder="1" applyAlignment="1"/>
    <xf numFmtId="170" fontId="14" fillId="0" borderId="0" xfId="1" applyNumberFormat="1" applyFont="1" applyFill="1" applyBorder="1" applyAlignment="1"/>
    <xf numFmtId="171" fontId="15" fillId="0" borderId="4" xfId="1" applyNumberFormat="1" applyFont="1" applyFill="1" applyBorder="1" applyAlignment="1">
      <alignment horizontal="right" vertical="center"/>
    </xf>
    <xf numFmtId="172" fontId="15" fillId="0" borderId="4" xfId="1" applyNumberFormat="1" applyFont="1" applyFill="1" applyBorder="1" applyAlignment="1">
      <alignment horizontal="right" vertical="center"/>
    </xf>
    <xf numFmtId="173" fontId="15" fillId="0" borderId="4" xfId="1" applyNumberFormat="1" applyFont="1" applyFill="1" applyBorder="1" applyAlignment="1">
      <alignment horizontal="right" vertical="center"/>
    </xf>
    <xf numFmtId="0" fontId="13" fillId="0" borderId="2" xfId="1" applyFont="1" applyFill="1" applyBorder="1" applyAlignment="1">
      <alignment horizontal="left"/>
    </xf>
    <xf numFmtId="49" fontId="1" fillId="0" borderId="0" xfId="1" applyNumberFormat="1"/>
    <xf numFmtId="165" fontId="1" fillId="0" borderId="0" xfId="1" applyNumberFormat="1" applyAlignment="1">
      <alignment horizontal="right"/>
    </xf>
    <xf numFmtId="174" fontId="14" fillId="0" borderId="0" xfId="1" applyNumberFormat="1" applyFont="1" applyFill="1" applyBorder="1" applyAlignment="1"/>
    <xf numFmtId="175" fontId="14" fillId="0" borderId="0" xfId="1" applyNumberFormat="1" applyFont="1" applyFill="1" applyBorder="1" applyAlignment="1"/>
    <xf numFmtId="176" fontId="14" fillId="0" borderId="0" xfId="1" applyNumberFormat="1" applyFont="1" applyFill="1" applyBorder="1" applyAlignment="1"/>
    <xf numFmtId="177" fontId="1" fillId="0" borderId="0" xfId="1" applyNumberFormat="1"/>
    <xf numFmtId="177" fontId="13" fillId="0" borderId="0" xfId="1" applyNumberFormat="1" applyFont="1" applyFill="1" applyBorder="1" applyAlignment="1">
      <alignment horizontal="right" wrapText="1"/>
    </xf>
    <xf numFmtId="177" fontId="14" fillId="0" borderId="1" xfId="1" applyNumberFormat="1" applyFont="1" applyFill="1" applyBorder="1" applyAlignment="1"/>
    <xf numFmtId="177" fontId="14" fillId="0" borderId="0" xfId="1" applyNumberFormat="1" applyFont="1" applyFill="1" applyAlignment="1"/>
    <xf numFmtId="178" fontId="14" fillId="0" borderId="0" xfId="1" applyNumberFormat="1" applyFont="1" applyFill="1" applyAlignment="1"/>
    <xf numFmtId="177" fontId="14" fillId="0" borderId="0" xfId="1" applyNumberFormat="1" applyFont="1" applyFill="1" applyBorder="1" applyAlignment="1"/>
    <xf numFmtId="178" fontId="14" fillId="0" borderId="0" xfId="1" applyNumberFormat="1" applyFont="1" applyFill="1" applyBorder="1" applyAlignment="1"/>
    <xf numFmtId="179" fontId="14" fillId="0" borderId="0" xfId="1" applyNumberFormat="1" applyFont="1" applyFill="1" applyAlignment="1"/>
    <xf numFmtId="179" fontId="14" fillId="0" borderId="0" xfId="1" applyNumberFormat="1" applyFont="1" applyFill="1" applyBorder="1" applyAlignment="1"/>
    <xf numFmtId="180" fontId="14" fillId="0" borderId="0" xfId="1" applyNumberFormat="1" applyFont="1" applyFill="1" applyAlignment="1"/>
    <xf numFmtId="181" fontId="14" fillId="0" borderId="0" xfId="1" applyNumberFormat="1" applyFont="1" applyFill="1" applyBorder="1" applyAlignment="1"/>
    <xf numFmtId="182" fontId="14" fillId="0" borderId="0" xfId="1" applyNumberFormat="1" applyFont="1" applyFill="1" applyBorder="1" applyAlignment="1"/>
    <xf numFmtId="183" fontId="14" fillId="0" borderId="0" xfId="1" applyNumberFormat="1" applyFont="1" applyFill="1" applyBorder="1" applyAlignment="1"/>
    <xf numFmtId="183" fontId="15" fillId="0" borderId="0" xfId="1" applyNumberFormat="1" applyFont="1" applyFill="1" applyBorder="1" applyAlignment="1"/>
    <xf numFmtId="0" fontId="20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184" fontId="21" fillId="2" borderId="5" xfId="2" applyNumberFormat="1" applyFont="1" applyFill="1" applyBorder="1" applyAlignment="1">
      <alignment horizontal="center"/>
    </xf>
    <xf numFmtId="184" fontId="21" fillId="2" borderId="6" xfId="2" applyNumberFormat="1" applyFont="1" applyFill="1" applyBorder="1" applyAlignment="1">
      <alignment horizontal="center"/>
    </xf>
    <xf numFmtId="184" fontId="21" fillId="2" borderId="7" xfId="2" applyNumberFormat="1" applyFont="1" applyFill="1" applyBorder="1" applyAlignment="1">
      <alignment horizontal="center"/>
    </xf>
    <xf numFmtId="184" fontId="21" fillId="2" borderId="8" xfId="2" applyNumberFormat="1" applyFont="1" applyFill="1" applyBorder="1" applyAlignment="1">
      <alignment horizontal="center"/>
    </xf>
    <xf numFmtId="184" fontId="21" fillId="2" borderId="9" xfId="2" applyNumberFormat="1" applyFont="1" applyFill="1" applyBorder="1" applyAlignment="1">
      <alignment horizontal="center"/>
    </xf>
    <xf numFmtId="184" fontId="21" fillId="2" borderId="10" xfId="2" applyNumberFormat="1" applyFont="1" applyFill="1" applyBorder="1" applyAlignment="1">
      <alignment horizontal="center"/>
    </xf>
    <xf numFmtId="184" fontId="22" fillId="0" borderId="11" xfId="2" applyNumberFormat="1" applyFont="1" applyFill="1" applyBorder="1"/>
    <xf numFmtId="184" fontId="22" fillId="0" borderId="12" xfId="2" applyNumberFormat="1" applyFont="1" applyFill="1" applyBorder="1"/>
    <xf numFmtId="184" fontId="22" fillId="0" borderId="13" xfId="2" applyNumberFormat="1" applyFont="1" applyFill="1" applyBorder="1"/>
    <xf numFmtId="184" fontId="22" fillId="0" borderId="14" xfId="2" applyNumberFormat="1" applyFont="1" applyFill="1" applyBorder="1"/>
    <xf numFmtId="184" fontId="22" fillId="0" borderId="15" xfId="2" applyNumberFormat="1" applyFont="1" applyFill="1" applyBorder="1"/>
    <xf numFmtId="0" fontId="1" fillId="0" borderId="0" xfId="1" applyFont="1"/>
    <xf numFmtId="184" fontId="22" fillId="0" borderId="16" xfId="2" applyNumberFormat="1" applyFont="1" applyFill="1" applyBorder="1"/>
    <xf numFmtId="184" fontId="22" fillId="0" borderId="0" xfId="2" applyNumberFormat="1" applyFont="1" applyFill="1" applyBorder="1"/>
    <xf numFmtId="184" fontId="22" fillId="0" borderId="17" xfId="2" applyNumberFormat="1" applyFont="1" applyFill="1" applyBorder="1"/>
    <xf numFmtId="0" fontId="22" fillId="0" borderId="18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22" fillId="0" borderId="17" xfId="1" applyFont="1" applyBorder="1" applyAlignment="1">
      <alignment horizontal="center"/>
    </xf>
    <xf numFmtId="0" fontId="22" fillId="0" borderId="0" xfId="1" applyNumberFormat="1" applyFont="1" applyBorder="1" applyAlignment="1">
      <alignment horizontal="center"/>
    </xf>
    <xf numFmtId="0" fontId="22" fillId="0" borderId="19" xfId="1" applyNumberFormat="1" applyFont="1" applyBorder="1" applyAlignment="1">
      <alignment horizontal="center"/>
    </xf>
    <xf numFmtId="185" fontId="1" fillId="0" borderId="0" xfId="1" applyNumberFormat="1"/>
    <xf numFmtId="184" fontId="22" fillId="0" borderId="18" xfId="2" applyNumberFormat="1" applyFont="1" applyFill="1" applyBorder="1"/>
    <xf numFmtId="184" fontId="22" fillId="0" borderId="19" xfId="2" applyNumberFormat="1" applyFont="1" applyFill="1" applyBorder="1"/>
    <xf numFmtId="1" fontId="1" fillId="0" borderId="0" xfId="3" applyNumberFormat="1" applyBorder="1"/>
    <xf numFmtId="0" fontId="1" fillId="0" borderId="17" xfId="1" applyBorder="1"/>
    <xf numFmtId="0" fontId="1" fillId="0" borderId="20" xfId="1" applyBorder="1"/>
    <xf numFmtId="0" fontId="1" fillId="0" borderId="21" xfId="1" applyBorder="1"/>
    <xf numFmtId="0" fontId="22" fillId="0" borderId="19" xfId="1" applyFont="1" applyBorder="1" applyAlignment="1">
      <alignment horizontal="center"/>
    </xf>
    <xf numFmtId="0" fontId="22" fillId="0" borderId="0" xfId="1" applyFont="1" applyFill="1" applyBorder="1" applyAlignment="1">
      <alignment horizontal="center"/>
    </xf>
    <xf numFmtId="0" fontId="22" fillId="0" borderId="17" xfId="1" applyFont="1" applyBorder="1" applyAlignment="1">
      <alignment horizontal="center"/>
    </xf>
    <xf numFmtId="6" fontId="22" fillId="0" borderId="18" xfId="1" applyNumberFormat="1" applyFont="1" applyBorder="1" applyAlignment="1">
      <alignment horizontal="center"/>
    </xf>
    <xf numFmtId="6" fontId="22" fillId="0" borderId="0" xfId="1" applyNumberFormat="1" applyFont="1" applyBorder="1" applyAlignment="1">
      <alignment horizontal="center"/>
    </xf>
    <xf numFmtId="6" fontId="22" fillId="0" borderId="17" xfId="1" applyNumberFormat="1" applyFont="1" applyBorder="1" applyAlignment="1">
      <alignment horizontal="center"/>
    </xf>
    <xf numFmtId="184" fontId="22" fillId="0" borderId="16" xfId="2" applyNumberFormat="1" applyFont="1" applyFill="1" applyBorder="1" applyAlignment="1">
      <alignment horizontal="center"/>
    </xf>
    <xf numFmtId="184" fontId="22" fillId="0" borderId="0" xfId="2" applyNumberFormat="1" applyFont="1" applyFill="1" applyBorder="1" applyAlignment="1">
      <alignment horizontal="center"/>
    </xf>
    <xf numFmtId="0" fontId="22" fillId="0" borderId="0" xfId="2" applyNumberFormat="1" applyFont="1" applyFill="1" applyBorder="1" applyAlignment="1">
      <alignment horizontal="center"/>
    </xf>
    <xf numFmtId="0" fontId="22" fillId="0" borderId="18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22" fillId="0" borderId="19" xfId="1" applyFont="1" applyBorder="1" applyAlignment="1">
      <alignment horizontal="center"/>
    </xf>
    <xf numFmtId="3" fontId="0" fillId="0" borderId="0" xfId="7" quotePrefix="1" applyNumberFormat="1" applyFont="1" applyAlignment="1"/>
    <xf numFmtId="6" fontId="22" fillId="0" borderId="0" xfId="7" quotePrefix="1" applyNumberFormat="1" applyFont="1" applyAlignment="1"/>
    <xf numFmtId="6" fontId="22" fillId="0" borderId="0" xfId="1" quotePrefix="1" applyNumberFormat="1" applyFont="1"/>
    <xf numFmtId="6" fontId="22" fillId="0" borderId="21" xfId="1" quotePrefix="1" applyNumberFormat="1" applyFont="1" applyBorder="1"/>
    <xf numFmtId="6" fontId="22" fillId="0" borderId="19" xfId="1" applyNumberFormat="1" applyFont="1" applyBorder="1" applyAlignment="1">
      <alignment horizontal="center"/>
    </xf>
    <xf numFmtId="184" fontId="22" fillId="3" borderId="16" xfId="2" applyNumberFormat="1" applyFont="1" applyFill="1" applyBorder="1"/>
    <xf numFmtId="184" fontId="22" fillId="3" borderId="0" xfId="2" applyNumberFormat="1" applyFont="1" applyFill="1" applyBorder="1"/>
    <xf numFmtId="184" fontId="22" fillId="3" borderId="17" xfId="2" applyNumberFormat="1" applyFont="1" applyFill="1" applyBorder="1"/>
    <xf numFmtId="184" fontId="22" fillId="3" borderId="18" xfId="2" applyNumberFormat="1" applyFont="1" applyFill="1" applyBorder="1"/>
    <xf numFmtId="184" fontId="22" fillId="3" borderId="21" xfId="2" applyNumberFormat="1" applyFont="1" applyFill="1" applyBorder="1"/>
    <xf numFmtId="184" fontId="22" fillId="3" borderId="19" xfId="2" applyNumberFormat="1" applyFont="1" applyFill="1" applyBorder="1"/>
    <xf numFmtId="184" fontId="22" fillId="0" borderId="21" xfId="2" applyNumberFormat="1" applyFont="1" applyFill="1" applyBorder="1"/>
    <xf numFmtId="184" fontId="1" fillId="0" borderId="17" xfId="2" applyNumberFormat="1" applyFont="1" applyFill="1" applyBorder="1"/>
    <xf numFmtId="184" fontId="1" fillId="0" borderId="18" xfId="2" applyNumberFormat="1" applyFont="1" applyFill="1" applyBorder="1"/>
    <xf numFmtId="184" fontId="1" fillId="0" borderId="0" xfId="2" applyNumberFormat="1" applyFont="1" applyFill="1" applyBorder="1"/>
    <xf numFmtId="184" fontId="1" fillId="0" borderId="21" xfId="2" applyNumberFormat="1" applyFont="1" applyFill="1" applyBorder="1"/>
    <xf numFmtId="0" fontId="1" fillId="0" borderId="16" xfId="2" applyNumberFormat="1" applyFont="1" applyFill="1" applyBorder="1"/>
    <xf numFmtId="0" fontId="1" fillId="0" borderId="0" xfId="2" applyNumberFormat="1" applyFont="1" applyFill="1" applyBorder="1" applyAlignment="1">
      <alignment horizontal="center"/>
    </xf>
    <xf numFmtId="14" fontId="1" fillId="0" borderId="0" xfId="1" applyNumberFormat="1" applyFont="1" applyBorder="1" applyAlignment="1">
      <alignment horizontal="right"/>
    </xf>
    <xf numFmtId="184" fontId="1" fillId="4" borderId="0" xfId="1" applyNumberFormat="1" applyFont="1" applyFill="1" applyBorder="1" applyAlignment="1">
      <alignment horizontal="right"/>
    </xf>
    <xf numFmtId="10" fontId="1" fillId="0" borderId="17" xfId="2" applyNumberFormat="1" applyFont="1" applyFill="1" applyBorder="1"/>
    <xf numFmtId="10" fontId="1" fillId="0" borderId="18" xfId="2" applyNumberFormat="1" applyFont="1" applyFill="1" applyBorder="1"/>
    <xf numFmtId="10" fontId="1" fillId="0" borderId="0" xfId="2" applyNumberFormat="1" applyFont="1" applyFill="1" applyBorder="1"/>
    <xf numFmtId="10" fontId="1" fillId="0" borderId="21" xfId="2" applyNumberFormat="1" applyFont="1" applyFill="1" applyBorder="1"/>
    <xf numFmtId="39" fontId="1" fillId="0" borderId="0" xfId="2" applyNumberFormat="1" applyFont="1" applyFill="1" applyBorder="1"/>
    <xf numFmtId="39" fontId="1" fillId="0" borderId="19" xfId="2" applyNumberFormat="1" applyFont="1" applyFill="1" applyBorder="1"/>
    <xf numFmtId="14" fontId="1" fillId="0" borderId="0" xfId="2" applyNumberFormat="1" applyFont="1" applyFill="1" applyBorder="1"/>
    <xf numFmtId="184" fontId="1" fillId="4" borderId="0" xfId="2" applyNumberFormat="1" applyFont="1" applyFill="1" applyBorder="1"/>
    <xf numFmtId="40" fontId="1" fillId="0" borderId="0" xfId="2" quotePrefix="1" applyNumberFormat="1" applyFont="1" applyFill="1"/>
    <xf numFmtId="40" fontId="1" fillId="0" borderId="21" xfId="2" quotePrefix="1" applyNumberFormat="1" applyFont="1" applyFill="1" applyBorder="1"/>
    <xf numFmtId="39" fontId="1" fillId="0" borderId="0" xfId="2" quotePrefix="1" applyNumberFormat="1" applyFont="1" applyFill="1" applyBorder="1"/>
    <xf numFmtId="39" fontId="1" fillId="0" borderId="17" xfId="2" applyNumberFormat="1" applyFont="1" applyFill="1" applyBorder="1"/>
    <xf numFmtId="39" fontId="1" fillId="0" borderId="19" xfId="2" quotePrefix="1" applyNumberFormat="1" applyFont="1" applyFill="1" applyBorder="1"/>
    <xf numFmtId="0" fontId="1" fillId="0" borderId="22" xfId="2" applyNumberFormat="1" applyFont="1" applyFill="1" applyBorder="1"/>
    <xf numFmtId="0" fontId="1" fillId="0" borderId="23" xfId="2" applyNumberFormat="1" applyFont="1" applyFill="1" applyBorder="1" applyAlignment="1">
      <alignment horizontal="center"/>
    </xf>
    <xf numFmtId="14" fontId="1" fillId="0" borderId="23" xfId="2" applyNumberFormat="1" applyFont="1" applyFill="1" applyBorder="1"/>
    <xf numFmtId="184" fontId="22" fillId="0" borderId="23" xfId="2" applyNumberFormat="1" applyFont="1" applyFill="1" applyBorder="1"/>
    <xf numFmtId="184" fontId="1" fillId="4" borderId="23" xfId="2" applyNumberFormat="1" applyFont="1" applyFill="1" applyBorder="1"/>
    <xf numFmtId="10" fontId="1" fillId="0" borderId="24" xfId="2" applyNumberFormat="1" applyFont="1" applyFill="1" applyBorder="1"/>
    <xf numFmtId="40" fontId="1" fillId="0" borderId="2" xfId="2" quotePrefix="1" applyNumberFormat="1" applyFont="1" applyFill="1" applyBorder="1"/>
    <xf numFmtId="40" fontId="1" fillId="0" borderId="25" xfId="2" quotePrefix="1" applyNumberFormat="1" applyFont="1" applyFill="1" applyBorder="1"/>
    <xf numFmtId="39" fontId="1" fillId="0" borderId="2" xfId="2" applyNumberFormat="1" applyFont="1" applyFill="1" applyBorder="1"/>
    <xf numFmtId="39" fontId="1" fillId="0" borderId="23" xfId="2" applyNumberFormat="1" applyFont="1" applyFill="1" applyBorder="1"/>
    <xf numFmtId="39" fontId="1" fillId="0" borderId="26" xfId="2" applyNumberFormat="1" applyFont="1" applyFill="1" applyBorder="1"/>
    <xf numFmtId="39" fontId="1" fillId="0" borderId="23" xfId="2" quotePrefix="1" applyNumberFormat="1" applyFont="1" applyFill="1" applyBorder="1"/>
    <xf numFmtId="39" fontId="1" fillId="0" borderId="27" xfId="2" applyNumberFormat="1" applyFont="1" applyFill="1" applyBorder="1"/>
    <xf numFmtId="4" fontId="1" fillId="0" borderId="0" xfId="1" applyNumberFormat="1"/>
    <xf numFmtId="186" fontId="22" fillId="0" borderId="0" xfId="2" applyNumberFormat="1" applyFont="1" applyFill="1" applyBorder="1"/>
    <xf numFmtId="186" fontId="22" fillId="0" borderId="17" xfId="2" applyNumberFormat="1" applyFont="1" applyFill="1" applyBorder="1"/>
    <xf numFmtId="184" fontId="1" fillId="0" borderId="19" xfId="2" applyNumberFormat="1" applyFont="1" applyFill="1" applyBorder="1"/>
    <xf numFmtId="184" fontId="22" fillId="0" borderId="25" xfId="2" applyNumberFormat="1" applyFont="1" applyFill="1" applyBorder="1"/>
    <xf numFmtId="184" fontId="22" fillId="0" borderId="28" xfId="2" applyNumberFormat="1" applyFont="1" applyFill="1" applyBorder="1"/>
    <xf numFmtId="184" fontId="22" fillId="0" borderId="29" xfId="2" applyNumberFormat="1" applyFont="1" applyFill="1" applyBorder="1"/>
    <xf numFmtId="0" fontId="22" fillId="0" borderId="29" xfId="1" applyFont="1" applyBorder="1" applyAlignment="1">
      <alignment horizontal="center"/>
    </xf>
    <xf numFmtId="10" fontId="22" fillId="0" borderId="30" xfId="2" applyNumberFormat="1" applyFont="1" applyFill="1" applyBorder="1"/>
    <xf numFmtId="39" fontId="22" fillId="0" borderId="29" xfId="2" applyNumberFormat="1" applyFont="1" applyFill="1" applyBorder="1"/>
    <xf numFmtId="39" fontId="22" fillId="0" borderId="30" xfId="2" applyNumberFormat="1" applyFont="1" applyFill="1" applyBorder="1"/>
    <xf numFmtId="39" fontId="22" fillId="0" borderId="31" xfId="2" applyNumberFormat="1" applyFont="1" applyFill="1" applyBorder="1"/>
    <xf numFmtId="184" fontId="22" fillId="0" borderId="32" xfId="2" applyNumberFormat="1" applyFont="1" applyFill="1" applyBorder="1"/>
    <xf numFmtId="184" fontId="22" fillId="0" borderId="9" xfId="2" applyNumberFormat="1" applyFont="1" applyFill="1" applyBorder="1"/>
    <xf numFmtId="184" fontId="22" fillId="0" borderId="33" xfId="2" applyNumberFormat="1" applyFont="1" applyFill="1" applyBorder="1"/>
    <xf numFmtId="184" fontId="22" fillId="0" borderId="34" xfId="2" applyNumberFormat="1" applyFont="1" applyFill="1" applyBorder="1"/>
    <xf numFmtId="184" fontId="22" fillId="0" borderId="35" xfId="2" applyNumberFormat="1" applyFont="1" applyFill="1" applyBorder="1"/>
    <xf numFmtId="8" fontId="1" fillId="0" borderId="0" xfId="1" applyNumberFormat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8">
    <cellStyle name="Comma 2" xfId="2"/>
    <cellStyle name="Comma 2 2" xfId="3"/>
    <cellStyle name="Normal" xfId="0" builtinId="0"/>
    <cellStyle name="Normal 2" xfId="1"/>
    <cellStyle name="Normal 3" xfId="4"/>
    <cellStyle name="Normal 4" xfId="5"/>
    <cellStyle name="Normal 5" xfId="6"/>
    <cellStyle name="Normal_Tax Impact Both" xfId="7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</xdr:row>
          <xdr:rowOff>66675</xdr:rowOff>
        </xdr:from>
        <xdr:to>
          <xdr:col>5</xdr:col>
          <xdr:colOff>342900</xdr:colOff>
          <xdr:row>4</xdr:row>
          <xdr:rowOff>38100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8</xdr:row>
          <xdr:rowOff>66675</xdr:rowOff>
        </xdr:from>
        <xdr:to>
          <xdr:col>5</xdr:col>
          <xdr:colOff>352425</xdr:colOff>
          <xdr:row>10</xdr:row>
          <xdr:rowOff>47625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Ehlers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18</xdr:row>
          <xdr:rowOff>57150</xdr:rowOff>
        </xdr:from>
        <xdr:to>
          <xdr:col>4</xdr:col>
          <xdr:colOff>485775</xdr:colOff>
          <xdr:row>20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18</xdr:row>
          <xdr:rowOff>57150</xdr:rowOff>
        </xdr:from>
        <xdr:to>
          <xdr:col>7</xdr:col>
          <xdr:colOff>485775</xdr:colOff>
          <xdr:row>20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14</xdr:row>
          <xdr:rowOff>171450</xdr:rowOff>
        </xdr:from>
        <xdr:to>
          <xdr:col>4</xdr:col>
          <xdr:colOff>558800</xdr:colOff>
          <xdr:row>16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 to Ehlers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18</xdr:row>
          <xdr:rowOff>171450</xdr:rowOff>
        </xdr:from>
        <xdr:to>
          <xdr:col>4</xdr:col>
          <xdr:colOff>558800</xdr:colOff>
          <xdr:row>20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 to Ehlers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22</xdr:row>
          <xdr:rowOff>180975</xdr:rowOff>
        </xdr:from>
        <xdr:to>
          <xdr:col>4</xdr:col>
          <xdr:colOff>282575</xdr:colOff>
          <xdr:row>24</xdr:row>
          <xdr:rowOff>66675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more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387350</xdr:colOff>
          <xdr:row>22</xdr:row>
          <xdr:rowOff>180975</xdr:rowOff>
        </xdr:from>
        <xdr:to>
          <xdr:col>7</xdr:col>
          <xdr:colOff>654050</xdr:colOff>
          <xdr:row>24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Finished importing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25782</xdr:colOff>
          <xdr:row>6</xdr:row>
          <xdr:rowOff>31831</xdr:rowOff>
        </xdr:from>
        <xdr:to>
          <xdr:col>4</xdr:col>
          <xdr:colOff>558645</xdr:colOff>
          <xdr:row>7</xdr:row>
          <xdr:rowOff>108031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30</xdr:row>
      <xdr:rowOff>104775</xdr:rowOff>
    </xdr:from>
    <xdr:to>
      <xdr:col>3</xdr:col>
      <xdr:colOff>1609725</xdr:colOff>
      <xdr:row>35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39275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30</xdr:row>
      <xdr:rowOff>85725</xdr:rowOff>
    </xdr:from>
    <xdr:to>
      <xdr:col>2</xdr:col>
      <xdr:colOff>0</xdr:colOff>
      <xdr:row>33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202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16</xdr:row>
      <xdr:rowOff>0</xdr:rowOff>
    </xdr:from>
    <xdr:to>
      <xdr:col>4</xdr:col>
      <xdr:colOff>28575</xdr:colOff>
      <xdr:row>16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18122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16</xdr:row>
      <xdr:rowOff>0</xdr:rowOff>
    </xdr:from>
    <xdr:to>
      <xdr:col>5</xdr:col>
      <xdr:colOff>9525</xdr:colOff>
      <xdr:row>16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619375" y="218122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16</xdr:row>
      <xdr:rowOff>0</xdr:rowOff>
    </xdr:from>
    <xdr:to>
      <xdr:col>6</xdr:col>
      <xdr:colOff>9525</xdr:colOff>
      <xdr:row>16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5257800" y="21812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18</xdr:row>
      <xdr:rowOff>0</xdr:rowOff>
    </xdr:from>
    <xdr:to>
      <xdr:col>4</xdr:col>
      <xdr:colOff>28575</xdr:colOff>
      <xdr:row>18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90550" y="244792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619375" y="244792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18</xdr:row>
      <xdr:rowOff>0</xdr:rowOff>
    </xdr:from>
    <xdr:to>
      <xdr:col>6</xdr:col>
      <xdr:colOff>9525</xdr:colOff>
      <xdr:row>18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5257800" y="24479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21</xdr:row>
      <xdr:rowOff>0</xdr:rowOff>
    </xdr:from>
    <xdr:to>
      <xdr:col>4</xdr:col>
      <xdr:colOff>28575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590550" y="284797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619375" y="284797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257800" y="28479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22</xdr:row>
      <xdr:rowOff>0</xdr:rowOff>
    </xdr:from>
    <xdr:to>
      <xdr:col>4</xdr:col>
      <xdr:colOff>28575</xdr:colOff>
      <xdr:row>22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90550" y="298132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22</xdr:row>
      <xdr:rowOff>0</xdr:rowOff>
    </xdr:from>
    <xdr:to>
      <xdr:col>5</xdr:col>
      <xdr:colOff>9525</xdr:colOff>
      <xdr:row>22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2619375" y="298132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22</xdr:row>
      <xdr:rowOff>0</xdr:rowOff>
    </xdr:from>
    <xdr:to>
      <xdr:col>6</xdr:col>
      <xdr:colOff>9525</xdr:colOff>
      <xdr:row>22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9813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23</xdr:row>
      <xdr:rowOff>0</xdr:rowOff>
    </xdr:from>
    <xdr:to>
      <xdr:col>4</xdr:col>
      <xdr:colOff>28575</xdr:colOff>
      <xdr:row>23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90550" y="311467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23</xdr:row>
      <xdr:rowOff>0</xdr:rowOff>
    </xdr:from>
    <xdr:to>
      <xdr:col>5</xdr:col>
      <xdr:colOff>9525</xdr:colOff>
      <xdr:row>23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619375" y="311467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23</xdr:row>
      <xdr:rowOff>0</xdr:rowOff>
    </xdr:from>
    <xdr:to>
      <xdr:col>6</xdr:col>
      <xdr:colOff>9525</xdr:colOff>
      <xdr:row>23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57800" y="3114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24</xdr:row>
      <xdr:rowOff>0</xdr:rowOff>
    </xdr:from>
    <xdr:to>
      <xdr:col>4</xdr:col>
      <xdr:colOff>28575</xdr:colOff>
      <xdr:row>24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90550" y="324802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619375" y="324802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24</xdr:row>
      <xdr:rowOff>0</xdr:rowOff>
    </xdr:from>
    <xdr:to>
      <xdr:col>6</xdr:col>
      <xdr:colOff>9525</xdr:colOff>
      <xdr:row>24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257800" y="3248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25</xdr:row>
      <xdr:rowOff>0</xdr:rowOff>
    </xdr:from>
    <xdr:to>
      <xdr:col>4</xdr:col>
      <xdr:colOff>28575</xdr:colOff>
      <xdr:row>25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90550" y="338137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619375" y="338137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25</xdr:row>
      <xdr:rowOff>0</xdr:rowOff>
    </xdr:from>
    <xdr:to>
      <xdr:col>6</xdr:col>
      <xdr:colOff>9525</xdr:colOff>
      <xdr:row>25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257800" y="33813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27</xdr:row>
      <xdr:rowOff>0</xdr:rowOff>
    </xdr:from>
    <xdr:to>
      <xdr:col>4</xdr:col>
      <xdr:colOff>28575</xdr:colOff>
      <xdr:row>27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90550" y="3648075"/>
          <a:ext cx="2028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619375" y="3648075"/>
          <a:ext cx="26384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27</xdr:row>
      <xdr:rowOff>0</xdr:rowOff>
    </xdr:from>
    <xdr:to>
      <xdr:col>6</xdr:col>
      <xdr:colOff>9525</xdr:colOff>
      <xdr:row>27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5257800" y="36480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77</xdr:row>
      <xdr:rowOff>104775</xdr:rowOff>
    </xdr:from>
    <xdr:to>
      <xdr:col>6</xdr:col>
      <xdr:colOff>47625</xdr:colOff>
      <xdr:row>82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677400"/>
          <a:ext cx="15144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77</xdr:row>
      <xdr:rowOff>85725</xdr:rowOff>
    </xdr:from>
    <xdr:to>
      <xdr:col>2</xdr:col>
      <xdr:colOff>0</xdr:colOff>
      <xdr:row>80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6583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763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28825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1621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657475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7908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448050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5814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33875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4672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19700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53050" y="2667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763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028825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1621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657475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7908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448050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5814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333875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4672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19700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9525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53050" y="3333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763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028825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1621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657475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7908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448050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5814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333875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4672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19700" y="4000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53050" y="40005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7635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028825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16217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657475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790825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448050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5814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333875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4672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19700" y="4667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53050" y="46672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5334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7635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2028825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6217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657475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790825" y="5334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448050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5814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333875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467225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19700" y="5334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53050" y="5334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6000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7635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028825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6217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657475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790825" y="6000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448050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5814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33875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467225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19700" y="6000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9525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53050" y="6000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58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7258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58</xdr:row>
      <xdr:rowOff>0</xdr:rowOff>
    </xdr:from>
    <xdr:to>
      <xdr:col>5</xdr:col>
      <xdr:colOff>9525</xdr:colOff>
      <xdr:row>58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58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76350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58</xdr:row>
      <xdr:rowOff>0</xdr:rowOff>
    </xdr:from>
    <xdr:to>
      <xdr:col>7</xdr:col>
      <xdr:colOff>9525</xdr:colOff>
      <xdr:row>58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028825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162175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58</xdr:row>
      <xdr:rowOff>0</xdr:rowOff>
    </xdr:from>
    <xdr:to>
      <xdr:col>9</xdr:col>
      <xdr:colOff>9525</xdr:colOff>
      <xdr:row>58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657475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58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790825" y="7258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448050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58</xdr:row>
      <xdr:rowOff>0</xdr:rowOff>
    </xdr:from>
    <xdr:to>
      <xdr:col>12</xdr:col>
      <xdr:colOff>0</xdr:colOff>
      <xdr:row>58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581400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58</xdr:row>
      <xdr:rowOff>0</xdr:rowOff>
    </xdr:from>
    <xdr:to>
      <xdr:col>13</xdr:col>
      <xdr:colOff>9525</xdr:colOff>
      <xdr:row>58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333875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58</xdr:row>
      <xdr:rowOff>0</xdr:rowOff>
    </xdr:from>
    <xdr:to>
      <xdr:col>14</xdr:col>
      <xdr:colOff>0</xdr:colOff>
      <xdr:row>58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467225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58</xdr:row>
      <xdr:rowOff>0</xdr:rowOff>
    </xdr:from>
    <xdr:to>
      <xdr:col>15</xdr:col>
      <xdr:colOff>9525</xdr:colOff>
      <xdr:row>58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19700" y="7258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58</xdr:row>
      <xdr:rowOff>0</xdr:rowOff>
    </xdr:from>
    <xdr:to>
      <xdr:col>16</xdr:col>
      <xdr:colOff>9525</xdr:colOff>
      <xdr:row>58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53050" y="7258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59</xdr:row>
      <xdr:rowOff>0</xdr:rowOff>
    </xdr:from>
    <xdr:to>
      <xdr:col>4</xdr:col>
      <xdr:colOff>0</xdr:colOff>
      <xdr:row>59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7391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59</xdr:row>
      <xdr:rowOff>0</xdr:rowOff>
    </xdr:from>
    <xdr:to>
      <xdr:col>5</xdr:col>
      <xdr:colOff>9525</xdr:colOff>
      <xdr:row>59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59</xdr:row>
      <xdr:rowOff>0</xdr:rowOff>
    </xdr:from>
    <xdr:to>
      <xdr:col>6</xdr:col>
      <xdr:colOff>0</xdr:colOff>
      <xdr:row>59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76350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59</xdr:row>
      <xdr:rowOff>0</xdr:rowOff>
    </xdr:from>
    <xdr:to>
      <xdr:col>7</xdr:col>
      <xdr:colOff>9525</xdr:colOff>
      <xdr:row>59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028825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162175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59</xdr:row>
      <xdr:rowOff>0</xdr:rowOff>
    </xdr:from>
    <xdr:to>
      <xdr:col>9</xdr:col>
      <xdr:colOff>9525</xdr:colOff>
      <xdr:row>59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657475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59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790825" y="7391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59</xdr:row>
      <xdr:rowOff>0</xdr:rowOff>
    </xdr:from>
    <xdr:to>
      <xdr:col>11</xdr:col>
      <xdr:colOff>9525</xdr:colOff>
      <xdr:row>59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448050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59</xdr:row>
      <xdr:rowOff>0</xdr:rowOff>
    </xdr:from>
    <xdr:to>
      <xdr:col>12</xdr:col>
      <xdr:colOff>0</xdr:colOff>
      <xdr:row>59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581400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59</xdr:row>
      <xdr:rowOff>0</xdr:rowOff>
    </xdr:from>
    <xdr:to>
      <xdr:col>13</xdr:col>
      <xdr:colOff>9525</xdr:colOff>
      <xdr:row>59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333875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59</xdr:row>
      <xdr:rowOff>0</xdr:rowOff>
    </xdr:from>
    <xdr:to>
      <xdr:col>14</xdr:col>
      <xdr:colOff>0</xdr:colOff>
      <xdr:row>59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467225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59</xdr:row>
      <xdr:rowOff>0</xdr:rowOff>
    </xdr:from>
    <xdr:to>
      <xdr:col>15</xdr:col>
      <xdr:colOff>9525</xdr:colOff>
      <xdr:row>59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19700" y="73914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59</xdr:row>
      <xdr:rowOff>0</xdr:rowOff>
    </xdr:from>
    <xdr:to>
      <xdr:col>16</xdr:col>
      <xdr:colOff>9525</xdr:colOff>
      <xdr:row>59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53050" y="7391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63</xdr:row>
      <xdr:rowOff>0</xdr:rowOff>
    </xdr:from>
    <xdr:to>
      <xdr:col>4</xdr:col>
      <xdr:colOff>0</xdr:colOff>
      <xdr:row>63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7924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63</xdr:row>
      <xdr:rowOff>0</xdr:rowOff>
    </xdr:from>
    <xdr:to>
      <xdr:col>5</xdr:col>
      <xdr:colOff>9525</xdr:colOff>
      <xdr:row>63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63</xdr:row>
      <xdr:rowOff>0</xdr:rowOff>
    </xdr:from>
    <xdr:to>
      <xdr:col>6</xdr:col>
      <xdr:colOff>0</xdr:colOff>
      <xdr:row>63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76350" y="7924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63</xdr:row>
      <xdr:rowOff>0</xdr:rowOff>
    </xdr:from>
    <xdr:to>
      <xdr:col>7</xdr:col>
      <xdr:colOff>9525</xdr:colOff>
      <xdr:row>63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028825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63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162175" y="7924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63</xdr:row>
      <xdr:rowOff>0</xdr:rowOff>
    </xdr:from>
    <xdr:to>
      <xdr:col>9</xdr:col>
      <xdr:colOff>9525</xdr:colOff>
      <xdr:row>63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657475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63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790825" y="7924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63</xdr:row>
      <xdr:rowOff>0</xdr:rowOff>
    </xdr:from>
    <xdr:to>
      <xdr:col>11</xdr:col>
      <xdr:colOff>9525</xdr:colOff>
      <xdr:row>63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448050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63</xdr:row>
      <xdr:rowOff>0</xdr:rowOff>
    </xdr:from>
    <xdr:to>
      <xdr:col>12</xdr:col>
      <xdr:colOff>0</xdr:colOff>
      <xdr:row>63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581400" y="7924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63</xdr:row>
      <xdr:rowOff>0</xdr:rowOff>
    </xdr:from>
    <xdr:to>
      <xdr:col>13</xdr:col>
      <xdr:colOff>9525</xdr:colOff>
      <xdr:row>63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333875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63</xdr:row>
      <xdr:rowOff>0</xdr:rowOff>
    </xdr:from>
    <xdr:to>
      <xdr:col>14</xdr:col>
      <xdr:colOff>0</xdr:colOff>
      <xdr:row>63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467225" y="7924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63</xdr:row>
      <xdr:rowOff>0</xdr:rowOff>
    </xdr:from>
    <xdr:to>
      <xdr:col>15</xdr:col>
      <xdr:colOff>9525</xdr:colOff>
      <xdr:row>63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19700" y="7924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63</xdr:row>
      <xdr:rowOff>0</xdr:rowOff>
    </xdr:from>
    <xdr:to>
      <xdr:col>16</xdr:col>
      <xdr:colOff>9525</xdr:colOff>
      <xdr:row>63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53050" y="7924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64</xdr:row>
      <xdr:rowOff>0</xdr:rowOff>
    </xdr:from>
    <xdr:to>
      <xdr:col>4</xdr:col>
      <xdr:colOff>0</xdr:colOff>
      <xdr:row>64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8058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64</xdr:row>
      <xdr:rowOff>0</xdr:rowOff>
    </xdr:from>
    <xdr:to>
      <xdr:col>5</xdr:col>
      <xdr:colOff>9525</xdr:colOff>
      <xdr:row>64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64</xdr:row>
      <xdr:rowOff>0</xdr:rowOff>
    </xdr:from>
    <xdr:to>
      <xdr:col>6</xdr:col>
      <xdr:colOff>0</xdr:colOff>
      <xdr:row>64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76350" y="8058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64</xdr:row>
      <xdr:rowOff>0</xdr:rowOff>
    </xdr:from>
    <xdr:to>
      <xdr:col>7</xdr:col>
      <xdr:colOff>9525</xdr:colOff>
      <xdr:row>64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028825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64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162175" y="8058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64</xdr:row>
      <xdr:rowOff>0</xdr:rowOff>
    </xdr:from>
    <xdr:to>
      <xdr:col>9</xdr:col>
      <xdr:colOff>9525</xdr:colOff>
      <xdr:row>64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657475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64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790825" y="8058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64</xdr:row>
      <xdr:rowOff>0</xdr:rowOff>
    </xdr:from>
    <xdr:to>
      <xdr:col>11</xdr:col>
      <xdr:colOff>9525</xdr:colOff>
      <xdr:row>64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448050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64</xdr:row>
      <xdr:rowOff>0</xdr:rowOff>
    </xdr:from>
    <xdr:to>
      <xdr:col>12</xdr:col>
      <xdr:colOff>0</xdr:colOff>
      <xdr:row>64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581400" y="8058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64</xdr:row>
      <xdr:rowOff>0</xdr:rowOff>
    </xdr:from>
    <xdr:to>
      <xdr:col>13</xdr:col>
      <xdr:colOff>9525</xdr:colOff>
      <xdr:row>64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333875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64</xdr:row>
      <xdr:rowOff>0</xdr:rowOff>
    </xdr:from>
    <xdr:to>
      <xdr:col>14</xdr:col>
      <xdr:colOff>0</xdr:colOff>
      <xdr:row>64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467225" y="8058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64</xdr:row>
      <xdr:rowOff>0</xdr:rowOff>
    </xdr:from>
    <xdr:to>
      <xdr:col>15</xdr:col>
      <xdr:colOff>9525</xdr:colOff>
      <xdr:row>64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19700" y="80581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64</xdr:row>
      <xdr:rowOff>0</xdr:rowOff>
    </xdr:from>
    <xdr:to>
      <xdr:col>16</xdr:col>
      <xdr:colOff>9525</xdr:colOff>
      <xdr:row>64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53050" y="80581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65</xdr:row>
      <xdr:rowOff>0</xdr:rowOff>
    </xdr:from>
    <xdr:to>
      <xdr:col>4</xdr:col>
      <xdr:colOff>0</xdr:colOff>
      <xdr:row>65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8191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65</xdr:row>
      <xdr:rowOff>0</xdr:rowOff>
    </xdr:from>
    <xdr:to>
      <xdr:col>5</xdr:col>
      <xdr:colOff>9525</xdr:colOff>
      <xdr:row>65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65</xdr:row>
      <xdr:rowOff>0</xdr:rowOff>
    </xdr:from>
    <xdr:to>
      <xdr:col>6</xdr:col>
      <xdr:colOff>0</xdr:colOff>
      <xdr:row>65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276350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65</xdr:row>
      <xdr:rowOff>0</xdr:rowOff>
    </xdr:from>
    <xdr:to>
      <xdr:col>7</xdr:col>
      <xdr:colOff>9525</xdr:colOff>
      <xdr:row>65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2028825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65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162175" y="8191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65</xdr:row>
      <xdr:rowOff>0</xdr:rowOff>
    </xdr:from>
    <xdr:to>
      <xdr:col>9</xdr:col>
      <xdr:colOff>9525</xdr:colOff>
      <xdr:row>65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657475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790825" y="8191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65</xdr:row>
      <xdr:rowOff>0</xdr:rowOff>
    </xdr:from>
    <xdr:to>
      <xdr:col>11</xdr:col>
      <xdr:colOff>9525</xdr:colOff>
      <xdr:row>65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448050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65</xdr:row>
      <xdr:rowOff>0</xdr:rowOff>
    </xdr:from>
    <xdr:to>
      <xdr:col>12</xdr:col>
      <xdr:colOff>0</xdr:colOff>
      <xdr:row>65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581400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65</xdr:row>
      <xdr:rowOff>0</xdr:rowOff>
    </xdr:from>
    <xdr:to>
      <xdr:col>13</xdr:col>
      <xdr:colOff>9525</xdr:colOff>
      <xdr:row>65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333875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65</xdr:row>
      <xdr:rowOff>0</xdr:rowOff>
    </xdr:from>
    <xdr:to>
      <xdr:col>14</xdr:col>
      <xdr:colOff>0</xdr:colOff>
      <xdr:row>65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467225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65</xdr:row>
      <xdr:rowOff>0</xdr:rowOff>
    </xdr:from>
    <xdr:to>
      <xdr:col>15</xdr:col>
      <xdr:colOff>9525</xdr:colOff>
      <xdr:row>65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219700" y="8191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65</xdr:row>
      <xdr:rowOff>0</xdr:rowOff>
    </xdr:from>
    <xdr:to>
      <xdr:col>16</xdr:col>
      <xdr:colOff>9525</xdr:colOff>
      <xdr:row>65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53050" y="81915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67</xdr:row>
      <xdr:rowOff>0</xdr:rowOff>
    </xdr:from>
    <xdr:to>
      <xdr:col>4</xdr:col>
      <xdr:colOff>0</xdr:colOff>
      <xdr:row>67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8458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67</xdr:row>
      <xdr:rowOff>0</xdr:rowOff>
    </xdr:from>
    <xdr:to>
      <xdr:col>5</xdr:col>
      <xdr:colOff>9525</xdr:colOff>
      <xdr:row>67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67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276350" y="8458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67</xdr:row>
      <xdr:rowOff>0</xdr:rowOff>
    </xdr:from>
    <xdr:to>
      <xdr:col>7</xdr:col>
      <xdr:colOff>9525</xdr:colOff>
      <xdr:row>67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2028825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67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162175" y="8458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67</xdr:row>
      <xdr:rowOff>0</xdr:rowOff>
    </xdr:from>
    <xdr:to>
      <xdr:col>9</xdr:col>
      <xdr:colOff>9525</xdr:colOff>
      <xdr:row>67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2657475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67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2790825" y="8458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67</xdr:row>
      <xdr:rowOff>0</xdr:rowOff>
    </xdr:from>
    <xdr:to>
      <xdr:col>11</xdr:col>
      <xdr:colOff>9525</xdr:colOff>
      <xdr:row>67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448050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67</xdr:row>
      <xdr:rowOff>0</xdr:rowOff>
    </xdr:from>
    <xdr:to>
      <xdr:col>12</xdr:col>
      <xdr:colOff>0</xdr:colOff>
      <xdr:row>67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3581400" y="8458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67</xdr:row>
      <xdr:rowOff>0</xdr:rowOff>
    </xdr:from>
    <xdr:to>
      <xdr:col>13</xdr:col>
      <xdr:colOff>9525</xdr:colOff>
      <xdr:row>67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4333875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67</xdr:row>
      <xdr:rowOff>0</xdr:rowOff>
    </xdr:from>
    <xdr:to>
      <xdr:col>14</xdr:col>
      <xdr:colOff>0</xdr:colOff>
      <xdr:row>67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4467225" y="8458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67</xdr:row>
      <xdr:rowOff>0</xdr:rowOff>
    </xdr:from>
    <xdr:to>
      <xdr:col>15</xdr:col>
      <xdr:colOff>9525</xdr:colOff>
      <xdr:row>67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219700" y="8458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67</xdr:row>
      <xdr:rowOff>0</xdr:rowOff>
    </xdr:from>
    <xdr:to>
      <xdr:col>16</xdr:col>
      <xdr:colOff>9525</xdr:colOff>
      <xdr:row>67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5353050" y="84582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68</xdr:row>
      <xdr:rowOff>0</xdr:rowOff>
    </xdr:from>
    <xdr:to>
      <xdr:col>4</xdr:col>
      <xdr:colOff>0</xdr:colOff>
      <xdr:row>68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581025" y="8591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68</xdr:row>
      <xdr:rowOff>0</xdr:rowOff>
    </xdr:from>
    <xdr:to>
      <xdr:col>5</xdr:col>
      <xdr:colOff>9525</xdr:colOff>
      <xdr:row>68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1143000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68</xdr:row>
      <xdr:rowOff>0</xdr:rowOff>
    </xdr:from>
    <xdr:to>
      <xdr:col>6</xdr:col>
      <xdr:colOff>0</xdr:colOff>
      <xdr:row>68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1276350" y="8591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68</xdr:row>
      <xdr:rowOff>0</xdr:rowOff>
    </xdr:from>
    <xdr:to>
      <xdr:col>7</xdr:col>
      <xdr:colOff>9525</xdr:colOff>
      <xdr:row>68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2028825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68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2162175" y="8591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68</xdr:row>
      <xdr:rowOff>0</xdr:rowOff>
    </xdr:from>
    <xdr:to>
      <xdr:col>9</xdr:col>
      <xdr:colOff>9525</xdr:colOff>
      <xdr:row>68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2657475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68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2790825" y="8591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68</xdr:row>
      <xdr:rowOff>0</xdr:rowOff>
    </xdr:from>
    <xdr:to>
      <xdr:col>11</xdr:col>
      <xdr:colOff>9525</xdr:colOff>
      <xdr:row>68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3448050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68</xdr:row>
      <xdr:rowOff>0</xdr:rowOff>
    </xdr:from>
    <xdr:to>
      <xdr:col>12</xdr:col>
      <xdr:colOff>0</xdr:colOff>
      <xdr:row>68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3581400" y="8591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68</xdr:row>
      <xdr:rowOff>0</xdr:rowOff>
    </xdr:from>
    <xdr:to>
      <xdr:col>13</xdr:col>
      <xdr:colOff>9525</xdr:colOff>
      <xdr:row>68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4333875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68</xdr:row>
      <xdr:rowOff>0</xdr:rowOff>
    </xdr:from>
    <xdr:to>
      <xdr:col>14</xdr:col>
      <xdr:colOff>0</xdr:colOff>
      <xdr:row>68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4467225" y="8591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68</xdr:row>
      <xdr:rowOff>0</xdr:rowOff>
    </xdr:from>
    <xdr:to>
      <xdr:col>15</xdr:col>
      <xdr:colOff>9525</xdr:colOff>
      <xdr:row>68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5219700" y="85915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68</xdr:row>
      <xdr:rowOff>0</xdr:rowOff>
    </xdr:from>
    <xdr:to>
      <xdr:col>16</xdr:col>
      <xdr:colOff>9525</xdr:colOff>
      <xdr:row>68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5353050" y="8591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69</xdr:row>
      <xdr:rowOff>0</xdr:rowOff>
    </xdr:from>
    <xdr:to>
      <xdr:col>4</xdr:col>
      <xdr:colOff>0</xdr:colOff>
      <xdr:row>69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581025" y="8724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69</xdr:row>
      <xdr:rowOff>0</xdr:rowOff>
    </xdr:from>
    <xdr:to>
      <xdr:col>5</xdr:col>
      <xdr:colOff>9525</xdr:colOff>
      <xdr:row>69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1143000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69</xdr:row>
      <xdr:rowOff>0</xdr:rowOff>
    </xdr:from>
    <xdr:to>
      <xdr:col>6</xdr:col>
      <xdr:colOff>0</xdr:colOff>
      <xdr:row>69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1276350" y="8724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69</xdr:row>
      <xdr:rowOff>0</xdr:rowOff>
    </xdr:from>
    <xdr:to>
      <xdr:col>7</xdr:col>
      <xdr:colOff>9525</xdr:colOff>
      <xdr:row>69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2028825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69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2162175" y="8724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69</xdr:row>
      <xdr:rowOff>0</xdr:rowOff>
    </xdr:from>
    <xdr:to>
      <xdr:col>9</xdr:col>
      <xdr:colOff>9525</xdr:colOff>
      <xdr:row>69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2657475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69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2790825" y="8724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69</xdr:row>
      <xdr:rowOff>0</xdr:rowOff>
    </xdr:from>
    <xdr:to>
      <xdr:col>11</xdr:col>
      <xdr:colOff>9525</xdr:colOff>
      <xdr:row>69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3448050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69</xdr:row>
      <xdr:rowOff>0</xdr:rowOff>
    </xdr:from>
    <xdr:to>
      <xdr:col>12</xdr:col>
      <xdr:colOff>0</xdr:colOff>
      <xdr:row>69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3581400" y="8724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69</xdr:row>
      <xdr:rowOff>0</xdr:rowOff>
    </xdr:from>
    <xdr:to>
      <xdr:col>13</xdr:col>
      <xdr:colOff>9525</xdr:colOff>
      <xdr:row>69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4333875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69</xdr:row>
      <xdr:rowOff>0</xdr:rowOff>
    </xdr:from>
    <xdr:to>
      <xdr:col>14</xdr:col>
      <xdr:colOff>0</xdr:colOff>
      <xdr:row>69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4467225" y="8724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69</xdr:row>
      <xdr:rowOff>0</xdr:rowOff>
    </xdr:from>
    <xdr:to>
      <xdr:col>15</xdr:col>
      <xdr:colOff>9525</xdr:colOff>
      <xdr:row>69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5219700" y="8724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69</xdr:row>
      <xdr:rowOff>0</xdr:rowOff>
    </xdr:from>
    <xdr:to>
      <xdr:col>16</xdr:col>
      <xdr:colOff>9525</xdr:colOff>
      <xdr:row>69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5353050" y="8724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70</xdr:row>
      <xdr:rowOff>0</xdr:rowOff>
    </xdr:from>
    <xdr:to>
      <xdr:col>4</xdr:col>
      <xdr:colOff>0</xdr:colOff>
      <xdr:row>70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581025" y="8858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70</xdr:row>
      <xdr:rowOff>0</xdr:rowOff>
    </xdr:from>
    <xdr:to>
      <xdr:col>5</xdr:col>
      <xdr:colOff>9525</xdr:colOff>
      <xdr:row>70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1143000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70</xdr:row>
      <xdr:rowOff>0</xdr:rowOff>
    </xdr:from>
    <xdr:to>
      <xdr:col>6</xdr:col>
      <xdr:colOff>0</xdr:colOff>
      <xdr:row>70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1276350" y="8858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70</xdr:row>
      <xdr:rowOff>0</xdr:rowOff>
    </xdr:from>
    <xdr:to>
      <xdr:col>7</xdr:col>
      <xdr:colOff>9525</xdr:colOff>
      <xdr:row>70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2028825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70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2162175" y="8858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70</xdr:row>
      <xdr:rowOff>0</xdr:rowOff>
    </xdr:from>
    <xdr:to>
      <xdr:col>9</xdr:col>
      <xdr:colOff>9525</xdr:colOff>
      <xdr:row>70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2657475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70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2790825" y="8858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70</xdr:row>
      <xdr:rowOff>0</xdr:rowOff>
    </xdr:from>
    <xdr:to>
      <xdr:col>11</xdr:col>
      <xdr:colOff>9525</xdr:colOff>
      <xdr:row>70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3448050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70</xdr:row>
      <xdr:rowOff>0</xdr:rowOff>
    </xdr:from>
    <xdr:to>
      <xdr:col>12</xdr:col>
      <xdr:colOff>0</xdr:colOff>
      <xdr:row>70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3581400" y="8858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70</xdr:row>
      <xdr:rowOff>0</xdr:rowOff>
    </xdr:from>
    <xdr:to>
      <xdr:col>13</xdr:col>
      <xdr:colOff>9525</xdr:colOff>
      <xdr:row>70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4333875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70</xdr:row>
      <xdr:rowOff>0</xdr:rowOff>
    </xdr:from>
    <xdr:to>
      <xdr:col>14</xdr:col>
      <xdr:colOff>0</xdr:colOff>
      <xdr:row>70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4467225" y="8858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70</xdr:row>
      <xdr:rowOff>0</xdr:rowOff>
    </xdr:from>
    <xdr:to>
      <xdr:col>15</xdr:col>
      <xdr:colOff>9525</xdr:colOff>
      <xdr:row>70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5219700" y="8858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70</xdr:row>
      <xdr:rowOff>0</xdr:rowOff>
    </xdr:from>
    <xdr:to>
      <xdr:col>16</xdr:col>
      <xdr:colOff>9525</xdr:colOff>
      <xdr:row>70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5353050" y="88582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73</xdr:row>
      <xdr:rowOff>0</xdr:rowOff>
    </xdr:from>
    <xdr:to>
      <xdr:col>4</xdr:col>
      <xdr:colOff>0</xdr:colOff>
      <xdr:row>73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581025" y="9258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73</xdr:row>
      <xdr:rowOff>0</xdr:rowOff>
    </xdr:from>
    <xdr:to>
      <xdr:col>5</xdr:col>
      <xdr:colOff>9525</xdr:colOff>
      <xdr:row>73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1143000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73</xdr:row>
      <xdr:rowOff>0</xdr:rowOff>
    </xdr:from>
    <xdr:to>
      <xdr:col>6</xdr:col>
      <xdr:colOff>0</xdr:colOff>
      <xdr:row>73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1276350" y="9258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73</xdr:row>
      <xdr:rowOff>0</xdr:rowOff>
    </xdr:from>
    <xdr:to>
      <xdr:col>7</xdr:col>
      <xdr:colOff>9525</xdr:colOff>
      <xdr:row>73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2028825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73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2162175" y="9258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73</xdr:row>
      <xdr:rowOff>0</xdr:rowOff>
    </xdr:from>
    <xdr:to>
      <xdr:col>9</xdr:col>
      <xdr:colOff>9525</xdr:colOff>
      <xdr:row>73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2657475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73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2790825" y="9258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73</xdr:row>
      <xdr:rowOff>0</xdr:rowOff>
    </xdr:from>
    <xdr:to>
      <xdr:col>11</xdr:col>
      <xdr:colOff>9525</xdr:colOff>
      <xdr:row>73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3448050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73</xdr:row>
      <xdr:rowOff>0</xdr:rowOff>
    </xdr:from>
    <xdr:to>
      <xdr:col>12</xdr:col>
      <xdr:colOff>0</xdr:colOff>
      <xdr:row>73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3581400" y="9258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73</xdr:row>
      <xdr:rowOff>0</xdr:rowOff>
    </xdr:from>
    <xdr:to>
      <xdr:col>13</xdr:col>
      <xdr:colOff>9525</xdr:colOff>
      <xdr:row>73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4333875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73</xdr:row>
      <xdr:rowOff>0</xdr:rowOff>
    </xdr:from>
    <xdr:to>
      <xdr:col>14</xdr:col>
      <xdr:colOff>0</xdr:colOff>
      <xdr:row>73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4467225" y="9258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73</xdr:row>
      <xdr:rowOff>0</xdr:rowOff>
    </xdr:from>
    <xdr:to>
      <xdr:col>15</xdr:col>
      <xdr:colOff>9525</xdr:colOff>
      <xdr:row>73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5219700" y="92583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73</xdr:row>
      <xdr:rowOff>0</xdr:rowOff>
    </xdr:from>
    <xdr:to>
      <xdr:col>16</xdr:col>
      <xdr:colOff>9525</xdr:colOff>
      <xdr:row>73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5353050" y="92583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74</xdr:row>
      <xdr:rowOff>0</xdr:rowOff>
    </xdr:from>
    <xdr:to>
      <xdr:col>4</xdr:col>
      <xdr:colOff>0</xdr:colOff>
      <xdr:row>74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581025" y="9391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74</xdr:row>
      <xdr:rowOff>0</xdr:rowOff>
    </xdr:from>
    <xdr:to>
      <xdr:col>5</xdr:col>
      <xdr:colOff>9525</xdr:colOff>
      <xdr:row>74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1143000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74</xdr:row>
      <xdr:rowOff>0</xdr:rowOff>
    </xdr:from>
    <xdr:to>
      <xdr:col>6</xdr:col>
      <xdr:colOff>0</xdr:colOff>
      <xdr:row>74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1276350" y="9391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74</xdr:row>
      <xdr:rowOff>0</xdr:rowOff>
    </xdr:from>
    <xdr:to>
      <xdr:col>7</xdr:col>
      <xdr:colOff>9525</xdr:colOff>
      <xdr:row>74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2028825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74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2162175" y="9391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74</xdr:row>
      <xdr:rowOff>0</xdr:rowOff>
    </xdr:from>
    <xdr:to>
      <xdr:col>9</xdr:col>
      <xdr:colOff>9525</xdr:colOff>
      <xdr:row>74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2657475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74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2790825" y="9391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74</xdr:row>
      <xdr:rowOff>0</xdr:rowOff>
    </xdr:from>
    <xdr:to>
      <xdr:col>11</xdr:col>
      <xdr:colOff>9525</xdr:colOff>
      <xdr:row>74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3448050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74</xdr:row>
      <xdr:rowOff>0</xdr:rowOff>
    </xdr:from>
    <xdr:to>
      <xdr:col>12</xdr:col>
      <xdr:colOff>0</xdr:colOff>
      <xdr:row>74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3581400" y="9391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74</xdr:row>
      <xdr:rowOff>0</xdr:rowOff>
    </xdr:from>
    <xdr:to>
      <xdr:col>13</xdr:col>
      <xdr:colOff>9525</xdr:colOff>
      <xdr:row>74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4333875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74</xdr:row>
      <xdr:rowOff>0</xdr:rowOff>
    </xdr:from>
    <xdr:to>
      <xdr:col>14</xdr:col>
      <xdr:colOff>0</xdr:colOff>
      <xdr:row>74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4467225" y="9391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74</xdr:row>
      <xdr:rowOff>0</xdr:rowOff>
    </xdr:from>
    <xdr:to>
      <xdr:col>15</xdr:col>
      <xdr:colOff>9525</xdr:colOff>
      <xdr:row>74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5219700" y="93916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74</xdr:row>
      <xdr:rowOff>0</xdr:rowOff>
    </xdr:from>
    <xdr:to>
      <xdr:col>16</xdr:col>
      <xdr:colOff>9525</xdr:colOff>
      <xdr:row>74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5353050" y="9391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57</xdr:row>
      <xdr:rowOff>104775</xdr:rowOff>
    </xdr:from>
    <xdr:to>
      <xdr:col>7</xdr:col>
      <xdr:colOff>95250</xdr:colOff>
      <xdr:row>62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24975"/>
          <a:ext cx="14954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57</xdr:row>
      <xdr:rowOff>85725</xdr:rowOff>
    </xdr:from>
    <xdr:to>
      <xdr:col>2</xdr:col>
      <xdr:colOff>0</xdr:colOff>
      <xdr:row>60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81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33575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716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466975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0507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162300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2004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952875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990975" y="26670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610100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482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400675" y="2667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438775" y="26670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811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33575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716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466975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0507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162300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2004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3952875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990975" y="3333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610100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482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400675" y="3333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438775" y="33337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811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33575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716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466975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0507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162300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2004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952875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000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610100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482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400675" y="40005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438775" y="40005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811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33575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7167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466975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05075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162300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2004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3952875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990975" y="46672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610100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482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400675" y="46672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438775" y="46672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5334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811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33575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7167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466975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05075" y="5334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162300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2004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952875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990975" y="53340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610100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482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400675" y="533400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438775" y="53340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6000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811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33575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7167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466975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05075" y="6000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162300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2004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52875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990975" y="6000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610100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482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400675" y="6000750"/>
          <a:ext cx="38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9525</xdr:colOff>
      <xdr:row>46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438775" y="60007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55</xdr:row>
      <xdr:rowOff>104775</xdr:rowOff>
    </xdr:from>
    <xdr:to>
      <xdr:col>6</xdr:col>
      <xdr:colOff>76200</xdr:colOff>
      <xdr:row>60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34500"/>
          <a:ext cx="15144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55</xdr:row>
      <xdr:rowOff>85725</xdr:rowOff>
    </xdr:from>
    <xdr:to>
      <xdr:col>2</xdr:col>
      <xdr:colOff>0</xdr:colOff>
      <xdr:row>58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154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95400" y="26670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00250" y="26670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15265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64795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790825" y="2667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19450" y="26670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718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124325" y="26670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276725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81965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962525" y="26670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086350" y="26670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48275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295400" y="33337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000250" y="3333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15265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64795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790825" y="3333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219450" y="3333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718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24325" y="3333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276725" y="3333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81965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962525" y="3333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086350" y="333375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48275" y="3333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295400" y="40005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2000250" y="4000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215265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647950" y="4000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790825" y="40005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219450" y="4000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718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124325" y="4000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276725" y="4000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0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819650" y="4000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962525" y="40005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086350" y="40005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48275" y="4000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7244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295400" y="47244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000250" y="47244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152650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647950" y="47244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790825" y="47244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219450" y="47244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718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124325" y="47244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276725" y="47244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0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819650" y="47244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39</xdr:row>
      <xdr:rowOff>0</xdr:rowOff>
    </xdr:from>
    <xdr:to>
      <xdr:col>16</xdr:col>
      <xdr:colOff>0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962525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086350" y="47244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48275" y="4724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857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295400" y="48577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000250" y="4857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2152650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64795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790825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219450" y="4857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718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124325" y="48577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276725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0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81965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96252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086350" y="485775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48275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51244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95400" y="51244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000250" y="51244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152650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42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647950" y="51244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790825" y="51244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219450" y="51244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718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124325" y="51244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76725" y="51244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819650" y="51244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962525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086350" y="512445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48275" y="51244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52578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295400" y="52578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000250" y="52578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152650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64795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790825" y="52578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219450" y="52578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718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124325" y="52578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276725" y="52578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0</xdr:colOff>
      <xdr:row>43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81965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962525" y="52578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086350" y="52578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48275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524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295400" y="55245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00250" y="5524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152650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64795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790825" y="55245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219450" y="5524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718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124325" y="55245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276725" y="5524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81965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962525" y="55245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086350" y="55245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9525</xdr:colOff>
      <xdr:row>45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48275" y="5524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57912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295400" y="57912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000250" y="57912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52650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0</xdr:colOff>
      <xdr:row>47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64795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790825" y="57912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219450" y="57912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718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124325" y="57912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276725" y="57912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0</xdr:colOff>
      <xdr:row>47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81965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962525" y="57912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086350" y="57912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48275" y="57912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59245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295400" y="59245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000250" y="59245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2152650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647950" y="59245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790825" y="59245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3219450" y="59245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33718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124325" y="59245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4276725" y="59245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819650" y="59245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48</xdr:row>
      <xdr:rowOff>0</xdr:rowOff>
    </xdr:from>
    <xdr:to>
      <xdr:col>16</xdr:col>
      <xdr:colOff>0</xdr:colOff>
      <xdr:row>48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4962525" y="5924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48</xdr:row>
      <xdr:rowOff>0</xdr:rowOff>
    </xdr:from>
    <xdr:to>
      <xdr:col>17</xdr:col>
      <xdr:colOff>9525</xdr:colOff>
      <xdr:row>48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086350" y="592455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48</xdr:row>
      <xdr:rowOff>0</xdr:rowOff>
    </xdr:from>
    <xdr:to>
      <xdr:col>18</xdr:col>
      <xdr:colOff>9525</xdr:colOff>
      <xdr:row>48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248275" y="59245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60579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295400" y="60579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2000250" y="60579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2152650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0</xdr:colOff>
      <xdr:row>49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64795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790825" y="6057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219450" y="60579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33718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4124325" y="60579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4276725" y="60579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0</xdr:colOff>
      <xdr:row>49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81965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962525" y="6057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086350" y="60579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9525</xdr:colOff>
      <xdr:row>49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248275" y="6057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1143000" y="63246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1295400" y="63246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2000250" y="63246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2152650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0</xdr:colOff>
      <xdr:row>51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2647950" y="63246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2790825" y="6324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3219450" y="63246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337185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4124325" y="632460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0</xdr:colOff>
      <xdr:row>51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4276725" y="63246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51</xdr:row>
      <xdr:rowOff>0</xdr:rowOff>
    </xdr:from>
    <xdr:to>
      <xdr:col>15</xdr:col>
      <xdr:colOff>0</xdr:colOff>
      <xdr:row>51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4819650" y="63246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51</xdr:row>
      <xdr:rowOff>0</xdr:rowOff>
    </xdr:from>
    <xdr:to>
      <xdr:col>16</xdr:col>
      <xdr:colOff>0</xdr:colOff>
      <xdr:row>51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4962525" y="63246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51</xdr:row>
      <xdr:rowOff>0</xdr:rowOff>
    </xdr:from>
    <xdr:to>
      <xdr:col>17</xdr:col>
      <xdr:colOff>9525</xdr:colOff>
      <xdr:row>51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5086350" y="632460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51</xdr:row>
      <xdr:rowOff>0</xdr:rowOff>
    </xdr:from>
    <xdr:to>
      <xdr:col>18</xdr:col>
      <xdr:colOff>9525</xdr:colOff>
      <xdr:row>51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5248275" y="6324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1143000" y="64579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1295400" y="64579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2000250" y="64579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2152650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0</xdr:colOff>
      <xdr:row>52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2647950" y="64579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2790825" y="64579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3219450" y="64579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337185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4124325" y="6457950"/>
          <a:ext cx="1524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4276725" y="64579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0</xdr:colOff>
      <xdr:row>52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4819650" y="64579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52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4962525" y="6457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52</xdr:row>
      <xdr:rowOff>0</xdr:rowOff>
    </xdr:from>
    <xdr:to>
      <xdr:col>17</xdr:col>
      <xdr:colOff>9525</xdr:colOff>
      <xdr:row>52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5086350" y="6457950"/>
          <a:ext cx="161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52</xdr:row>
      <xdr:rowOff>0</xdr:rowOff>
    </xdr:from>
    <xdr:to>
      <xdr:col>18</xdr:col>
      <xdr:colOff>9525</xdr:colOff>
      <xdr:row>52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5248275" y="64579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63</xdr:row>
      <xdr:rowOff>104775</xdr:rowOff>
    </xdr:from>
    <xdr:to>
      <xdr:col>5</xdr:col>
      <xdr:colOff>438150</xdr:colOff>
      <xdr:row>68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296400"/>
          <a:ext cx="15049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63</xdr:row>
      <xdr:rowOff>85725</xdr:rowOff>
    </xdr:from>
    <xdr:to>
      <xdr:col>2</xdr:col>
      <xdr:colOff>0</xdr:colOff>
      <xdr:row>66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773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638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3907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886075" y="26670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5147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0100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76250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257800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114300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1638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3907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886075" y="33337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5147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40100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76250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257800" y="3333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4300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38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3907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886075" y="40005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5147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100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76250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257800" y="4000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143000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6383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39077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86075" y="46672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5147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0100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762500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257800" y="4667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81025" y="5334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143000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383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39077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886075" y="53340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51472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010025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4762500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57800" y="5334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6000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6383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39077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886075" y="60007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51472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010025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762500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9525</xdr:colOff>
      <xdr:row>46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257800" y="6000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58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81025" y="7258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58</xdr:row>
      <xdr:rowOff>0</xdr:rowOff>
    </xdr:from>
    <xdr:to>
      <xdr:col>5</xdr:col>
      <xdr:colOff>9525</xdr:colOff>
      <xdr:row>58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143000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58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638300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58</xdr:row>
      <xdr:rowOff>0</xdr:rowOff>
    </xdr:from>
    <xdr:to>
      <xdr:col>7</xdr:col>
      <xdr:colOff>9525</xdr:colOff>
      <xdr:row>58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390775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86075" y="72580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58</xdr:row>
      <xdr:rowOff>0</xdr:rowOff>
    </xdr:from>
    <xdr:to>
      <xdr:col>9</xdr:col>
      <xdr:colOff>9525</xdr:colOff>
      <xdr:row>58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514725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58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010025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762500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58</xdr:row>
      <xdr:rowOff>0</xdr:rowOff>
    </xdr:from>
    <xdr:to>
      <xdr:col>12</xdr:col>
      <xdr:colOff>9525</xdr:colOff>
      <xdr:row>58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5257800" y="7258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60</xdr:row>
      <xdr:rowOff>0</xdr:rowOff>
    </xdr:from>
    <xdr:to>
      <xdr:col>4</xdr:col>
      <xdr:colOff>0</xdr:colOff>
      <xdr:row>60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7524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60</xdr:row>
      <xdr:rowOff>0</xdr:rowOff>
    </xdr:from>
    <xdr:to>
      <xdr:col>5</xdr:col>
      <xdr:colOff>9525</xdr:colOff>
      <xdr:row>60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43000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60</xdr:row>
      <xdr:rowOff>0</xdr:rowOff>
    </xdr:from>
    <xdr:to>
      <xdr:col>6</xdr:col>
      <xdr:colOff>0</xdr:colOff>
      <xdr:row>60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638300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60</xdr:row>
      <xdr:rowOff>0</xdr:rowOff>
    </xdr:from>
    <xdr:to>
      <xdr:col>7</xdr:col>
      <xdr:colOff>9525</xdr:colOff>
      <xdr:row>60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90775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886075" y="75247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60</xdr:row>
      <xdr:rowOff>0</xdr:rowOff>
    </xdr:from>
    <xdr:to>
      <xdr:col>9</xdr:col>
      <xdr:colOff>9525</xdr:colOff>
      <xdr:row>60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514725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60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10025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762500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60</xdr:row>
      <xdr:rowOff>0</xdr:rowOff>
    </xdr:from>
    <xdr:to>
      <xdr:col>12</xdr:col>
      <xdr:colOff>9525</xdr:colOff>
      <xdr:row>60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257800" y="7524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51</xdr:row>
      <xdr:rowOff>104775</xdr:rowOff>
    </xdr:from>
    <xdr:to>
      <xdr:col>5</xdr:col>
      <xdr:colOff>685800</xdr:colOff>
      <xdr:row>56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192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7170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47925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99085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2670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01955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95775" y="2667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981575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257800" y="26670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192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7170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47925" y="3333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9085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2670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401955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95775" y="3333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4981575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257800" y="33337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192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7170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47925" y="4000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9085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2670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01955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95775" y="40005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981575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257800" y="40005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192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7170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47925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9085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2670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01955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957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981575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57800" y="48577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192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7170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47925" y="51244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9085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2670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01955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957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981575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257800" y="51244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3911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192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71700" y="53911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47925" y="53911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990850" y="53911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2670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019550" y="53911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95775" y="53911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981575" y="53911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257800" y="53911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657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192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71700" y="5657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47925" y="56578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90850" y="5657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2670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4019550" y="5657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95775" y="56578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981575" y="5657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56578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9245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192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71700" y="59245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447925" y="59245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90850" y="59245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2670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19550" y="59245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95775" y="5924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981575" y="59245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257800" y="59245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38</xdr:row>
      <xdr:rowOff>104775</xdr:rowOff>
    </xdr:from>
    <xdr:to>
      <xdr:col>5</xdr:col>
      <xdr:colOff>685800</xdr:colOff>
      <xdr:row>43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10700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85725</xdr:rowOff>
    </xdr:from>
    <xdr:to>
      <xdr:col>2</xdr:col>
      <xdr:colOff>0</xdr:colOff>
      <xdr:row>41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916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25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857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857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19225" y="2857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25</xdr:row>
      <xdr:rowOff>0</xdr:rowOff>
    </xdr:from>
    <xdr:to>
      <xdr:col>7</xdr:col>
      <xdr:colOff>0</xdr:colOff>
      <xdr:row>25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71700" y="285750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38400" y="28575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25</xdr:row>
      <xdr:rowOff>0</xdr:rowOff>
    </xdr:from>
    <xdr:to>
      <xdr:col>9</xdr:col>
      <xdr:colOff>9525</xdr:colOff>
      <xdr:row>25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771775" y="2857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048000" y="2857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25</xdr:row>
      <xdr:rowOff>0</xdr:rowOff>
    </xdr:from>
    <xdr:to>
      <xdr:col>11</xdr:col>
      <xdr:colOff>9525</xdr:colOff>
      <xdr:row>25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800475" y="2857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25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076700" y="28575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25</xdr:row>
      <xdr:rowOff>0</xdr:rowOff>
    </xdr:from>
    <xdr:to>
      <xdr:col>13</xdr:col>
      <xdr:colOff>9525</xdr:colOff>
      <xdr:row>25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10150" y="2857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25</xdr:row>
      <xdr:rowOff>0</xdr:rowOff>
    </xdr:from>
    <xdr:to>
      <xdr:col>14</xdr:col>
      <xdr:colOff>9525</xdr:colOff>
      <xdr:row>25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286375" y="2857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2990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2990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19225" y="2990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71700" y="299085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38400" y="29908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771775" y="2990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048000" y="2990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800475" y="2990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076700" y="29908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10150" y="29908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286375" y="29908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390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19225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71700" y="339090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38400" y="33909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771775" y="3390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048000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800475" y="3390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076700" y="33909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10150" y="3390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286375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30</xdr:row>
      <xdr:rowOff>0</xdr:rowOff>
    </xdr:from>
    <xdr:to>
      <xdr:col>4</xdr:col>
      <xdr:colOff>0</xdr:colOff>
      <xdr:row>30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35242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19225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30</xdr:row>
      <xdr:rowOff>0</xdr:rowOff>
    </xdr:from>
    <xdr:to>
      <xdr:col>7</xdr:col>
      <xdr:colOff>0</xdr:colOff>
      <xdr:row>30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71700" y="352425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38400" y="35242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30</xdr:row>
      <xdr:rowOff>0</xdr:rowOff>
    </xdr:from>
    <xdr:to>
      <xdr:col>9</xdr:col>
      <xdr:colOff>9525</xdr:colOff>
      <xdr:row>30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771775" y="35242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30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048000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30</xdr:row>
      <xdr:rowOff>0</xdr:rowOff>
    </xdr:from>
    <xdr:to>
      <xdr:col>11</xdr:col>
      <xdr:colOff>9525</xdr:colOff>
      <xdr:row>30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800475" y="35242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30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076700" y="35242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30</xdr:row>
      <xdr:rowOff>0</xdr:rowOff>
    </xdr:from>
    <xdr:to>
      <xdr:col>13</xdr:col>
      <xdr:colOff>9525</xdr:colOff>
      <xdr:row>30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10150" y="35242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30</xdr:row>
      <xdr:rowOff>0</xdr:rowOff>
    </xdr:from>
    <xdr:to>
      <xdr:col>14</xdr:col>
      <xdr:colOff>9525</xdr:colOff>
      <xdr:row>30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86375" y="3524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37909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192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71700" y="379095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38400" y="37909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771775" y="37909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048000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800475" y="37909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076700" y="37909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10150" y="37909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286375" y="37909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0576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192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71700" y="405765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38400" y="40576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771775" y="40576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0480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800475" y="40576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76700" y="40576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10150" y="40576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286375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4191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192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71700" y="4191000"/>
          <a:ext cx="2667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38400" y="41910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771775" y="4191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04800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800475" y="4191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076700" y="41910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10150" y="4191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86375" y="4191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25</xdr:row>
      <xdr:rowOff>104775</xdr:rowOff>
    </xdr:from>
    <xdr:to>
      <xdr:col>3</xdr:col>
      <xdr:colOff>1619250</xdr:colOff>
      <xdr:row>30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8848725"/>
          <a:ext cx="16287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25</xdr:row>
      <xdr:rowOff>85725</xdr:rowOff>
    </xdr:from>
    <xdr:to>
      <xdr:col>2</xdr:col>
      <xdr:colOff>0</xdr:colOff>
      <xdr:row>28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88296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19050</xdr:colOff>
      <xdr:row>17</xdr:row>
      <xdr:rowOff>0</xdr:rowOff>
    </xdr:from>
    <xdr:to>
      <xdr:col>4</xdr:col>
      <xdr:colOff>28575</xdr:colOff>
      <xdr:row>17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314575"/>
          <a:ext cx="1743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333625" y="2314575"/>
          <a:ext cx="3076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17</xdr:row>
      <xdr:rowOff>0</xdr:rowOff>
    </xdr:from>
    <xdr:to>
      <xdr:col>6</xdr:col>
      <xdr:colOff>9525</xdr:colOff>
      <xdr:row>17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5410200" y="23145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18</xdr:row>
      <xdr:rowOff>0</xdr:rowOff>
    </xdr:from>
    <xdr:to>
      <xdr:col>4</xdr:col>
      <xdr:colOff>28575</xdr:colOff>
      <xdr:row>18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90550" y="2447925"/>
          <a:ext cx="1743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333625" y="2447925"/>
          <a:ext cx="3076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18</xdr:row>
      <xdr:rowOff>0</xdr:rowOff>
    </xdr:from>
    <xdr:to>
      <xdr:col>6</xdr:col>
      <xdr:colOff>9525</xdr:colOff>
      <xdr:row>18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5410200" y="24479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19</xdr:row>
      <xdr:rowOff>0</xdr:rowOff>
    </xdr:from>
    <xdr:to>
      <xdr:col>4</xdr:col>
      <xdr:colOff>28575</xdr:colOff>
      <xdr:row>19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590550" y="2581275"/>
          <a:ext cx="1743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333625" y="2581275"/>
          <a:ext cx="3076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19</xdr:row>
      <xdr:rowOff>0</xdr:rowOff>
    </xdr:from>
    <xdr:to>
      <xdr:col>6</xdr:col>
      <xdr:colOff>9525</xdr:colOff>
      <xdr:row>19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410200" y="25812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20</xdr:row>
      <xdr:rowOff>0</xdr:rowOff>
    </xdr:from>
    <xdr:to>
      <xdr:col>4</xdr:col>
      <xdr:colOff>28575</xdr:colOff>
      <xdr:row>20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90550" y="2714625"/>
          <a:ext cx="1743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20</xdr:row>
      <xdr:rowOff>0</xdr:rowOff>
    </xdr:from>
    <xdr:to>
      <xdr:col>5</xdr:col>
      <xdr:colOff>9525</xdr:colOff>
      <xdr:row>20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2333625" y="2714625"/>
          <a:ext cx="3076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20</xdr:row>
      <xdr:rowOff>0</xdr:rowOff>
    </xdr:from>
    <xdr:to>
      <xdr:col>6</xdr:col>
      <xdr:colOff>9525</xdr:colOff>
      <xdr:row>20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410200" y="27146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22</xdr:row>
      <xdr:rowOff>0</xdr:rowOff>
    </xdr:from>
    <xdr:to>
      <xdr:col>4</xdr:col>
      <xdr:colOff>28575</xdr:colOff>
      <xdr:row>22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90550" y="2981325"/>
          <a:ext cx="1743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22</xdr:row>
      <xdr:rowOff>0</xdr:rowOff>
    </xdr:from>
    <xdr:to>
      <xdr:col>5</xdr:col>
      <xdr:colOff>9525</xdr:colOff>
      <xdr:row>22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333625" y="2981325"/>
          <a:ext cx="3076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22</xdr:row>
      <xdr:rowOff>0</xdr:rowOff>
    </xdr:from>
    <xdr:to>
      <xdr:col>6</xdr:col>
      <xdr:colOff>9525</xdr:colOff>
      <xdr:row>22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410200" y="29813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58</xdr:row>
      <xdr:rowOff>85725</xdr:rowOff>
    </xdr:from>
    <xdr:to>
      <xdr:col>7</xdr:col>
      <xdr:colOff>9525</xdr:colOff>
      <xdr:row>63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151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57</xdr:row>
      <xdr:rowOff>85725</xdr:rowOff>
    </xdr:from>
    <xdr:to>
      <xdr:col>2</xdr:col>
      <xdr:colOff>0</xdr:colOff>
      <xdr:row>60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008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382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90725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859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81275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6765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33750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290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181475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276725" y="26670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895850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991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743575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8388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591300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686550" y="2667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7534275" y="26670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9525</xdr:colOff>
      <xdr:row>21</xdr:row>
      <xdr:rowOff>0</xdr:rowOff>
    </xdr:from>
    <xdr:to>
      <xdr:col>22</xdr:col>
      <xdr:colOff>9525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7629525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143000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2382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1990725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0859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581275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6765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33750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4290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4181475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276725" y="3333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895850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9911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743575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388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6591300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6686550" y="3333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26</xdr:row>
      <xdr:rowOff>0</xdr:rowOff>
    </xdr:from>
    <xdr:to>
      <xdr:col>21</xdr:col>
      <xdr:colOff>9525</xdr:colOff>
      <xdr:row>26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7534275" y="33337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26</xdr:row>
      <xdr:rowOff>0</xdr:rowOff>
    </xdr:from>
    <xdr:to>
      <xdr:col>22</xdr:col>
      <xdr:colOff>9525</xdr:colOff>
      <xdr:row>26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7629525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1143000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2382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990725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0859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581275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6765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333750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4290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181475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276725" y="4000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895850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49911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743575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0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388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6591300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0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6686550" y="4000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31</xdr:row>
      <xdr:rowOff>0</xdr:rowOff>
    </xdr:from>
    <xdr:to>
      <xdr:col>21</xdr:col>
      <xdr:colOff>9525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7534275" y="40005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31</xdr:row>
      <xdr:rowOff>0</xdr:rowOff>
    </xdr:from>
    <xdr:to>
      <xdr:col>22</xdr:col>
      <xdr:colOff>9525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7629525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143000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12382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1990725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208597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2581275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6765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3333750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34290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4181475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276725" y="49911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4895850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9911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5743575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9525</xdr:colOff>
      <xdr:row>41</xdr:row>
      <xdr:rowOff>0</xdr:rowOff>
    </xdr:from>
    <xdr:to>
      <xdr:col>18</xdr:col>
      <xdr:colOff>0</xdr:colOff>
      <xdr:row>41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8388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6591300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6686550" y="49911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41</xdr:row>
      <xdr:rowOff>0</xdr:rowOff>
    </xdr:from>
    <xdr:to>
      <xdr:col>21</xdr:col>
      <xdr:colOff>9525</xdr:colOff>
      <xdr:row>41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7534275" y="49911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41</xdr:row>
      <xdr:rowOff>0</xdr:rowOff>
    </xdr:from>
    <xdr:to>
      <xdr:col>22</xdr:col>
      <xdr:colOff>9525</xdr:colOff>
      <xdr:row>41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7629525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43000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2382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90725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08597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81275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67652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4290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181475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276725" y="51244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895850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9911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743575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388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42</xdr:row>
      <xdr:rowOff>0</xdr:rowOff>
    </xdr:from>
    <xdr:to>
      <xdr:col>19</xdr:col>
      <xdr:colOff>9525</xdr:colOff>
      <xdr:row>42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6591300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42</xdr:row>
      <xdr:rowOff>0</xdr:rowOff>
    </xdr:from>
    <xdr:to>
      <xdr:col>20</xdr:col>
      <xdr:colOff>0</xdr:colOff>
      <xdr:row>42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6686550" y="51244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42</xdr:row>
      <xdr:rowOff>0</xdr:rowOff>
    </xdr:from>
    <xdr:to>
      <xdr:col>21</xdr:col>
      <xdr:colOff>9525</xdr:colOff>
      <xdr:row>42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7534275" y="51244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42</xdr:row>
      <xdr:rowOff>0</xdr:rowOff>
    </xdr:from>
    <xdr:to>
      <xdr:col>22</xdr:col>
      <xdr:colOff>9525</xdr:colOff>
      <xdr:row>42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7629525" y="51244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1143000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12382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1990725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208597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2581275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2676525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333750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34290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181475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4276725" y="56578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4895850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9911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743575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0</xdr:colOff>
      <xdr:row>46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8388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46</xdr:row>
      <xdr:rowOff>0</xdr:rowOff>
    </xdr:from>
    <xdr:to>
      <xdr:col>19</xdr:col>
      <xdr:colOff>9525</xdr:colOff>
      <xdr:row>46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6591300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</xdr:colOff>
      <xdr:row>46</xdr:row>
      <xdr:rowOff>0</xdr:rowOff>
    </xdr:from>
    <xdr:to>
      <xdr:col>20</xdr:col>
      <xdr:colOff>0</xdr:colOff>
      <xdr:row>46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6686550" y="56578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46</xdr:row>
      <xdr:rowOff>0</xdr:rowOff>
    </xdr:from>
    <xdr:to>
      <xdr:col>21</xdr:col>
      <xdr:colOff>9525</xdr:colOff>
      <xdr:row>46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7534275" y="56578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46</xdr:row>
      <xdr:rowOff>0</xdr:rowOff>
    </xdr:from>
    <xdr:to>
      <xdr:col>22</xdr:col>
      <xdr:colOff>9525</xdr:colOff>
      <xdr:row>46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7629525" y="56578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1143000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12382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1990725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208597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2581275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676525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3333750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34290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4181475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4276725" y="57912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4895850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9911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5743575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0</xdr:colOff>
      <xdr:row>47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8388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47</xdr:row>
      <xdr:rowOff>0</xdr:rowOff>
    </xdr:from>
    <xdr:to>
      <xdr:col>19</xdr:col>
      <xdr:colOff>9525</xdr:colOff>
      <xdr:row>47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6591300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47</xdr:row>
      <xdr:rowOff>0</xdr:rowOff>
    </xdr:from>
    <xdr:to>
      <xdr:col>20</xdr:col>
      <xdr:colOff>0</xdr:colOff>
      <xdr:row>47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6686550" y="57912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47</xdr:row>
      <xdr:rowOff>0</xdr:rowOff>
    </xdr:from>
    <xdr:to>
      <xdr:col>21</xdr:col>
      <xdr:colOff>9525</xdr:colOff>
      <xdr:row>47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7534275" y="57912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47</xdr:row>
      <xdr:rowOff>0</xdr:rowOff>
    </xdr:from>
    <xdr:to>
      <xdr:col>22</xdr:col>
      <xdr:colOff>9525</xdr:colOff>
      <xdr:row>47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7629525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143000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12382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990725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08597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581275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2676525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3333750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34290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4181475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4276725" y="59245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895850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0</xdr:colOff>
      <xdr:row>48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49911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48</xdr:row>
      <xdr:rowOff>0</xdr:rowOff>
    </xdr:from>
    <xdr:to>
      <xdr:col>17</xdr:col>
      <xdr:colOff>9525</xdr:colOff>
      <xdr:row>48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5743575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48</xdr:row>
      <xdr:rowOff>0</xdr:rowOff>
    </xdr:from>
    <xdr:to>
      <xdr:col>18</xdr:col>
      <xdr:colOff>0</xdr:colOff>
      <xdr:row>48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8388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48</xdr:row>
      <xdr:rowOff>0</xdr:rowOff>
    </xdr:from>
    <xdr:to>
      <xdr:col>19</xdr:col>
      <xdr:colOff>9525</xdr:colOff>
      <xdr:row>48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6591300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48</xdr:row>
      <xdr:rowOff>0</xdr:rowOff>
    </xdr:from>
    <xdr:to>
      <xdr:col>20</xdr:col>
      <xdr:colOff>0</xdr:colOff>
      <xdr:row>48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6686550" y="59245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48</xdr:row>
      <xdr:rowOff>0</xdr:rowOff>
    </xdr:from>
    <xdr:to>
      <xdr:col>21</xdr:col>
      <xdr:colOff>9525</xdr:colOff>
      <xdr:row>48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7534275" y="59245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48</xdr:row>
      <xdr:rowOff>0</xdr:rowOff>
    </xdr:from>
    <xdr:to>
      <xdr:col>22</xdr:col>
      <xdr:colOff>9525</xdr:colOff>
      <xdr:row>48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7629525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1143000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23825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990725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085975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581275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676525" y="6191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333750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4290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181475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276725" y="61912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9525</xdr:colOff>
      <xdr:row>50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4895850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50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49911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50</xdr:row>
      <xdr:rowOff>0</xdr:rowOff>
    </xdr:from>
    <xdr:to>
      <xdr:col>17</xdr:col>
      <xdr:colOff>9525</xdr:colOff>
      <xdr:row>50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743575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50</xdr:row>
      <xdr:rowOff>0</xdr:rowOff>
    </xdr:from>
    <xdr:to>
      <xdr:col>18</xdr:col>
      <xdr:colOff>0</xdr:colOff>
      <xdr:row>50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5838825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50</xdr:row>
      <xdr:rowOff>0</xdr:rowOff>
    </xdr:from>
    <xdr:to>
      <xdr:col>19</xdr:col>
      <xdr:colOff>9525</xdr:colOff>
      <xdr:row>50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6591300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50</xdr:row>
      <xdr:rowOff>0</xdr:rowOff>
    </xdr:from>
    <xdr:to>
      <xdr:col>20</xdr:col>
      <xdr:colOff>0</xdr:colOff>
      <xdr:row>50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6686550" y="61912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50</xdr:row>
      <xdr:rowOff>0</xdr:rowOff>
    </xdr:from>
    <xdr:to>
      <xdr:col>21</xdr:col>
      <xdr:colOff>9525</xdr:colOff>
      <xdr:row>50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7534275" y="61912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50</xdr:row>
      <xdr:rowOff>0</xdr:rowOff>
    </xdr:from>
    <xdr:to>
      <xdr:col>22</xdr:col>
      <xdr:colOff>9525</xdr:colOff>
      <xdr:row>50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7629525" y="61912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1143000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123825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1990725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2085975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2581275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2676525" y="6324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3333750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34290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4181475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0</xdr:colOff>
      <xdr:row>51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4276725" y="63246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51</xdr:row>
      <xdr:rowOff>0</xdr:rowOff>
    </xdr:from>
    <xdr:to>
      <xdr:col>15</xdr:col>
      <xdr:colOff>9525</xdr:colOff>
      <xdr:row>51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4895850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51</xdr:row>
      <xdr:rowOff>0</xdr:rowOff>
    </xdr:from>
    <xdr:to>
      <xdr:col>16</xdr:col>
      <xdr:colOff>0</xdr:colOff>
      <xdr:row>51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49911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51</xdr:row>
      <xdr:rowOff>0</xdr:rowOff>
    </xdr:from>
    <xdr:to>
      <xdr:col>17</xdr:col>
      <xdr:colOff>9525</xdr:colOff>
      <xdr:row>51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5743575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51</xdr:row>
      <xdr:rowOff>0</xdr:rowOff>
    </xdr:from>
    <xdr:to>
      <xdr:col>18</xdr:col>
      <xdr:colOff>0</xdr:colOff>
      <xdr:row>51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5838825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51</xdr:row>
      <xdr:rowOff>0</xdr:rowOff>
    </xdr:from>
    <xdr:to>
      <xdr:col>19</xdr:col>
      <xdr:colOff>9525</xdr:colOff>
      <xdr:row>51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6591300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51</xdr:row>
      <xdr:rowOff>0</xdr:rowOff>
    </xdr:from>
    <xdr:to>
      <xdr:col>20</xdr:col>
      <xdr:colOff>0</xdr:colOff>
      <xdr:row>51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6686550" y="63246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51</xdr:row>
      <xdr:rowOff>0</xdr:rowOff>
    </xdr:from>
    <xdr:to>
      <xdr:col>21</xdr:col>
      <xdr:colOff>9525</xdr:colOff>
      <xdr:row>51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7534275" y="63246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51</xdr:row>
      <xdr:rowOff>0</xdr:rowOff>
    </xdr:from>
    <xdr:to>
      <xdr:col>22</xdr:col>
      <xdr:colOff>9525</xdr:colOff>
      <xdr:row>51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7629525" y="63246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1143000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123825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1990725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208597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2581275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2676525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3333750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34290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4181475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4276725" y="64579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4895850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49911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52</xdr:row>
      <xdr:rowOff>0</xdr:rowOff>
    </xdr:from>
    <xdr:to>
      <xdr:col>17</xdr:col>
      <xdr:colOff>9525</xdr:colOff>
      <xdr:row>52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5743575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52</xdr:row>
      <xdr:rowOff>0</xdr:rowOff>
    </xdr:from>
    <xdr:to>
      <xdr:col>18</xdr:col>
      <xdr:colOff>0</xdr:colOff>
      <xdr:row>52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58388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52</xdr:row>
      <xdr:rowOff>0</xdr:rowOff>
    </xdr:from>
    <xdr:to>
      <xdr:col>19</xdr:col>
      <xdr:colOff>9525</xdr:colOff>
      <xdr:row>52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6591300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52</xdr:row>
      <xdr:rowOff>0</xdr:rowOff>
    </xdr:from>
    <xdr:to>
      <xdr:col>20</xdr:col>
      <xdr:colOff>0</xdr:colOff>
      <xdr:row>52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6686550" y="64579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52</xdr:row>
      <xdr:rowOff>0</xdr:rowOff>
    </xdr:from>
    <xdr:to>
      <xdr:col>21</xdr:col>
      <xdr:colOff>9525</xdr:colOff>
      <xdr:row>52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7534275" y="645795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52</xdr:row>
      <xdr:rowOff>0</xdr:rowOff>
    </xdr:from>
    <xdr:to>
      <xdr:col>22</xdr:col>
      <xdr:colOff>9525</xdr:colOff>
      <xdr:row>52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7629525" y="64579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1143000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123825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1990725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2085975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2581275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2676525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3333750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34290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4181475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0</xdr:colOff>
      <xdr:row>53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4276725" y="65913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53</xdr:row>
      <xdr:rowOff>0</xdr:rowOff>
    </xdr:from>
    <xdr:to>
      <xdr:col>15</xdr:col>
      <xdr:colOff>9525</xdr:colOff>
      <xdr:row>53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4895850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53</xdr:row>
      <xdr:rowOff>0</xdr:rowOff>
    </xdr:from>
    <xdr:to>
      <xdr:col>16</xdr:col>
      <xdr:colOff>0</xdr:colOff>
      <xdr:row>53</xdr:row>
      <xdr:rowOff>0</xdr:rowOff>
    </xdr:to>
    <xdr:sp macro="" textlink="">
      <xdr:nvSpPr>
        <xdr:cNvPr id="227" name="Line 226"/>
        <xdr:cNvSpPr>
          <a:spLocks noChangeShapeType="1"/>
        </xdr:cNvSpPr>
      </xdr:nvSpPr>
      <xdr:spPr bwMode="auto">
        <a:xfrm>
          <a:off x="49911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53</xdr:row>
      <xdr:rowOff>0</xdr:rowOff>
    </xdr:from>
    <xdr:to>
      <xdr:col>17</xdr:col>
      <xdr:colOff>9525</xdr:colOff>
      <xdr:row>53</xdr:row>
      <xdr:rowOff>0</xdr:rowOff>
    </xdr:to>
    <xdr:sp macro="" textlink="">
      <xdr:nvSpPr>
        <xdr:cNvPr id="228" name="Line 227"/>
        <xdr:cNvSpPr>
          <a:spLocks noChangeShapeType="1"/>
        </xdr:cNvSpPr>
      </xdr:nvSpPr>
      <xdr:spPr bwMode="auto">
        <a:xfrm>
          <a:off x="5743575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53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229" name="Line 228"/>
        <xdr:cNvSpPr>
          <a:spLocks noChangeShapeType="1"/>
        </xdr:cNvSpPr>
      </xdr:nvSpPr>
      <xdr:spPr bwMode="auto">
        <a:xfrm>
          <a:off x="58388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53</xdr:row>
      <xdr:rowOff>0</xdr:rowOff>
    </xdr:from>
    <xdr:to>
      <xdr:col>19</xdr:col>
      <xdr:colOff>9525</xdr:colOff>
      <xdr:row>53</xdr:row>
      <xdr:rowOff>0</xdr:rowOff>
    </xdr:to>
    <xdr:sp macro="" textlink="">
      <xdr:nvSpPr>
        <xdr:cNvPr id="230" name="Line 229"/>
        <xdr:cNvSpPr>
          <a:spLocks noChangeShapeType="1"/>
        </xdr:cNvSpPr>
      </xdr:nvSpPr>
      <xdr:spPr bwMode="auto">
        <a:xfrm>
          <a:off x="6591300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53</xdr:row>
      <xdr:rowOff>0</xdr:rowOff>
    </xdr:from>
    <xdr:to>
      <xdr:col>20</xdr:col>
      <xdr:colOff>0</xdr:colOff>
      <xdr:row>53</xdr:row>
      <xdr:rowOff>0</xdr:rowOff>
    </xdr:to>
    <xdr:sp macro="" textlink="">
      <xdr:nvSpPr>
        <xdr:cNvPr id="231" name="Line 230"/>
        <xdr:cNvSpPr>
          <a:spLocks noChangeShapeType="1"/>
        </xdr:cNvSpPr>
      </xdr:nvSpPr>
      <xdr:spPr bwMode="auto">
        <a:xfrm>
          <a:off x="6686550" y="65913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53</xdr:row>
      <xdr:rowOff>0</xdr:rowOff>
    </xdr:from>
    <xdr:to>
      <xdr:col>21</xdr:col>
      <xdr:colOff>9525</xdr:colOff>
      <xdr:row>53</xdr:row>
      <xdr:rowOff>0</xdr:rowOff>
    </xdr:to>
    <xdr:sp macro="" textlink="">
      <xdr:nvSpPr>
        <xdr:cNvPr id="232" name="Line 231"/>
        <xdr:cNvSpPr>
          <a:spLocks noChangeShapeType="1"/>
        </xdr:cNvSpPr>
      </xdr:nvSpPr>
      <xdr:spPr bwMode="auto">
        <a:xfrm>
          <a:off x="7534275" y="6591300"/>
          <a:ext cx="95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53</xdr:row>
      <xdr:rowOff>0</xdr:rowOff>
    </xdr:from>
    <xdr:to>
      <xdr:col>22</xdr:col>
      <xdr:colOff>9525</xdr:colOff>
      <xdr:row>53</xdr:row>
      <xdr:rowOff>0</xdr:rowOff>
    </xdr:to>
    <xdr:sp macro="" textlink="">
      <xdr:nvSpPr>
        <xdr:cNvPr id="233" name="Line 232"/>
        <xdr:cNvSpPr>
          <a:spLocks noChangeShapeType="1"/>
        </xdr:cNvSpPr>
      </xdr:nvSpPr>
      <xdr:spPr bwMode="auto">
        <a:xfrm>
          <a:off x="7629525" y="65913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44</xdr:row>
      <xdr:rowOff>85725</xdr:rowOff>
    </xdr:from>
    <xdr:to>
      <xdr:col>5</xdr:col>
      <xdr:colOff>314325</xdr:colOff>
      <xdr:row>49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77375"/>
          <a:ext cx="15049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43</xdr:row>
      <xdr:rowOff>85725</xdr:rowOff>
    </xdr:from>
    <xdr:to>
      <xdr:col>2</xdr:col>
      <xdr:colOff>0</xdr:colOff>
      <xdr:row>46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630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52525" y="2533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752600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419350" y="2533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019425" y="25336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524250" y="2533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124325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791075" y="2533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391150" y="25336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81025" y="32004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1152525" y="3200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1752600" y="3200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419350" y="3200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3019425" y="32004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524250" y="3200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4124325" y="3200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791075" y="3200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391150" y="32004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81025" y="38671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52525" y="3867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752600" y="3867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419350" y="3867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019425" y="38671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524250" y="3867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24325" y="3867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791075" y="3867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391150" y="38671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9525</xdr:colOff>
      <xdr:row>39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81025" y="45910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15252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9525</xdr:colOff>
      <xdr:row>39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752600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419350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9525</xdr:colOff>
      <xdr:row>39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019425" y="45910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524250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9525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124325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79107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391150" y="45910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9525</xdr:colOff>
      <xdr:row>40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81025" y="47244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15252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9525</xdr:colOff>
      <xdr:row>40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7526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419350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9525</xdr:colOff>
      <xdr:row>40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019425" y="47244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524250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9525</xdr:colOff>
      <xdr:row>40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12432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479107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391150" y="47244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queryTables/queryTable1.xml><?xml version="1.0" encoding="utf-8"?>
<queryTable xmlns="http://schemas.openxmlformats.org/spreadsheetml/2006/main" name="(local) Ehlers vw_IssuesData" connectionId="1" autoFormatId="16" applyNumberFormats="0" applyBorderFormats="0" applyFontFormats="0" applyPatternFormats="0" applyAlignmentFormats="0" applyWidthHeightFormats="0">
  <queryTableRefresh nextId="34">
    <queryTableFields count="5">
      <queryTableField id="29" name="IssueID" tableColumnId="29"/>
      <queryTableField id="30" name="Issuer" tableColumnId="30"/>
      <queryTableField id="31" name="IssueName" tableColumnId="31"/>
      <queryTableField id="32" name="Amount" tableColumnId="32"/>
      <queryTableField id="33" name="SaleDate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lIssuesData" displayName="tblIssuesData" ref="A1:E2" tableType="queryTable" totalsRowShown="0">
  <autoFilter ref="A1:E2"/>
  <tableColumns count="5">
    <tableColumn id="29" uniqueName="29" name="IssueID" queryTableFieldId="29"/>
    <tableColumn id="30" uniqueName="30" name="Issuer" queryTableFieldId="30"/>
    <tableColumn id="31" uniqueName="31" name="IssueName" queryTableFieldId="31"/>
    <tableColumn id="32" uniqueName="32" name="Amount" queryTableFieldId="32"/>
    <tableColumn id="33" uniqueName="33" name="SaleDate" queryTableField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J30"/>
  <sheetViews>
    <sheetView defaultGridColor="0" colorId="22" zoomScale="150" zoomScaleNormal="150" workbookViewId="0">
      <selection activeCell="B23" sqref="B23"/>
    </sheetView>
  </sheetViews>
  <sheetFormatPr defaultColWidth="0" defaultRowHeight="15" zeroHeight="1"/>
  <cols>
    <col min="1" max="1" width="9.140625" customWidth="1"/>
    <col min="2" max="2" width="8.5703125" customWidth="1"/>
    <col min="3" max="3" width="1.7109375" customWidth="1"/>
    <col min="4" max="4" width="8.28515625" customWidth="1"/>
    <col min="5" max="6" width="8.28515625" style="1" customWidth="1"/>
    <col min="7" max="7" width="1.7109375" customWidth="1"/>
    <col min="8" max="8" width="11.7109375" customWidth="1"/>
    <col min="9" max="9" width="68" customWidth="1"/>
    <col min="10" max="10" width="0.7109375" customWidth="1"/>
    <col min="11" max="16384" width="9.140625" hidden="1"/>
  </cols>
  <sheetData>
    <row r="1" spans="2:9"/>
    <row r="2" spans="2:9">
      <c r="B2" s="14" t="s">
        <v>9</v>
      </c>
      <c r="D2" t="s">
        <v>37</v>
      </c>
    </row>
    <row r="3" spans="2:9" s="1" customFormat="1" ht="7.5" customHeight="1">
      <c r="B3" s="14"/>
    </row>
    <row r="4" spans="2:9" ht="15.75" customHeight="1">
      <c r="B4" s="14"/>
      <c r="H4" s="12" t="s">
        <v>43</v>
      </c>
      <c r="I4" s="184" t="s">
        <v>168</v>
      </c>
    </row>
    <row r="5" spans="2:9" s="1" customFormat="1">
      <c r="B5" s="14"/>
      <c r="I5" s="185"/>
    </row>
    <row r="6" spans="2:9" s="1" customFormat="1"/>
    <row r="7" spans="2:9" s="1" customFormat="1"/>
    <row r="8" spans="2:9" s="1" customFormat="1">
      <c r="B8" s="14" t="s">
        <v>10</v>
      </c>
      <c r="D8" t="s">
        <v>46</v>
      </c>
    </row>
    <row r="9" spans="2:9" ht="7.5" customHeight="1">
      <c r="B9" s="14"/>
    </row>
    <row r="10" spans="2:9">
      <c r="B10" s="14"/>
      <c r="H10" s="12" t="s">
        <v>44</v>
      </c>
      <c r="I10" s="8"/>
    </row>
    <row r="11" spans="2:9">
      <c r="B11" s="14"/>
      <c r="H11" s="12" t="s">
        <v>39</v>
      </c>
      <c r="I11" s="9"/>
    </row>
    <row r="12" spans="2:9">
      <c r="H12" s="12" t="s">
        <v>40</v>
      </c>
      <c r="I12" s="9"/>
    </row>
    <row r="13" spans="2:9">
      <c r="H13" s="12" t="s">
        <v>41</v>
      </c>
      <c r="I13" s="10"/>
    </row>
    <row r="14" spans="2:9" s="1" customFormat="1">
      <c r="H14" s="12" t="s">
        <v>38</v>
      </c>
      <c r="I14" s="11"/>
    </row>
    <row r="15" spans="2:9" s="1" customFormat="1">
      <c r="H15" s="12"/>
      <c r="I15" s="11"/>
    </row>
    <row r="16" spans="2:9" s="1" customFormat="1">
      <c r="H16" s="12"/>
      <c r="I16" s="11"/>
    </row>
    <row r="17" spans="2:9"/>
    <row r="18" spans="2:9">
      <c r="B18" s="4" t="s">
        <v>11</v>
      </c>
      <c r="D18" t="s">
        <v>42</v>
      </c>
    </row>
    <row r="19" spans="2:9" ht="7.5" customHeight="1"/>
    <row r="20" spans="2:9"/>
    <row r="21" spans="2:9"/>
    <row r="22" spans="2:9"/>
    <row r="23" spans="2:9">
      <c r="B23" s="2" t="s">
        <v>27</v>
      </c>
    </row>
    <row r="24" spans="2:9"/>
    <row r="25" spans="2:9"/>
    <row r="26" spans="2:9" hidden="1"/>
    <row r="27" spans="2:9" hidden="1"/>
    <row r="28" spans="2:9" hidden="1">
      <c r="I28" s="6"/>
    </row>
    <row r="29" spans="2:9" hidden="1"/>
    <row r="30" spans="2:9" hidden="1">
      <c r="I30" s="1"/>
    </row>
  </sheetData>
  <mergeCells count="3">
    <mergeCell ref="B2:B5"/>
    <mergeCell ref="B8:B11"/>
    <mergeCell ref="I4:I5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getMunexFile">
                <anchor>
                  <from>
                    <xdr:col>3</xdr:col>
                    <xdr:colOff>0</xdr:colOff>
                    <xdr:row>2</xdr:row>
                    <xdr:rowOff>66675</xdr:rowOff>
                  </from>
                  <to>
                    <xdr:col>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IssueData">
                <anchor>
                  <from>
                    <xdr:col>3</xdr:col>
                    <xdr:colOff>9525</xdr:colOff>
                    <xdr:row>8</xdr:row>
                    <xdr:rowOff>66675</xdr:rowOff>
                  </from>
                  <to>
                    <xdr:col>5</xdr:col>
                    <xdr:colOff>352425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'switchSheets &quot;Import&quot;, &quot;Purposes&quot;'">
                <anchor>
                  <from>
                    <xdr:col>3</xdr:col>
                    <xdr:colOff>9525</xdr:colOff>
                    <xdr:row>18</xdr:row>
                    <xdr:rowOff>57150</xdr:rowOff>
                  </from>
                  <to>
                    <xdr:col>4</xdr:col>
                    <xdr:colOff>485775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>
                  <from>
                    <xdr:col>5</xdr:col>
                    <xdr:colOff>133350</xdr:colOff>
                    <xdr:row>18</xdr:row>
                    <xdr:rowOff>57150</xdr:rowOff>
                  </from>
                  <to>
                    <xdr:col>7</xdr:col>
                    <xdr:colOff>485775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B1:H25"/>
  <sheetViews>
    <sheetView defaultGridColor="0" colorId="31" zoomScale="150" zoomScaleNormal="150" workbookViewId="0">
      <selection activeCell="G10" sqref="G10"/>
    </sheetView>
  </sheetViews>
  <sheetFormatPr defaultRowHeight="15" customHeight="1"/>
  <cols>
    <col min="2" max="2" width="11.5703125" bestFit="1" customWidth="1"/>
    <col min="3" max="3" width="1.85546875" style="1" customWidth="1"/>
    <col min="4" max="4" width="13.7109375" customWidth="1"/>
    <col min="6" max="6" width="16" bestFit="1" customWidth="1"/>
    <col min="7" max="7" width="6.140625" customWidth="1"/>
    <col min="8" max="8" width="63.28515625" customWidth="1"/>
  </cols>
  <sheetData>
    <row r="1" spans="2:8" s="1" customFormat="1" ht="15" customHeight="1"/>
    <row r="2" spans="2:8" s="16" customFormat="1" ht="23.25">
      <c r="B2" s="15">
        <f xml:space="preserve"> Issuer</f>
        <v>0</v>
      </c>
      <c r="C2" s="15"/>
      <c r="D2" s="15"/>
      <c r="E2" s="15"/>
      <c r="F2" s="15"/>
      <c r="G2" s="15"/>
      <c r="H2" s="15"/>
    </row>
    <row r="3" spans="2:8" s="16" customFormat="1" ht="23.25">
      <c r="B3" s="15">
        <f>IssueName</f>
        <v>0</v>
      </c>
      <c r="C3" s="15"/>
      <c r="D3" s="15"/>
      <c r="E3" s="15"/>
      <c r="F3" s="15"/>
      <c r="G3" s="15"/>
      <c r="H3" s="15"/>
    </row>
    <row r="4" spans="2:8" s="16" customFormat="1" ht="23.25">
      <c r="B4" s="17">
        <f>IssueAmount</f>
        <v>0</v>
      </c>
      <c r="C4" s="17"/>
      <c r="D4" s="17"/>
      <c r="E4" s="18"/>
      <c r="F4" s="19">
        <f>SaleDate</f>
        <v>0</v>
      </c>
      <c r="G4" s="19"/>
      <c r="H4" s="18"/>
    </row>
    <row r="5" spans="2:8" s="1" customFormat="1" ht="15" customHeight="1">
      <c r="B5" s="3"/>
      <c r="C5" s="13"/>
      <c r="F5" s="7"/>
    </row>
    <row r="6" spans="2:8" s="1" customFormat="1" ht="15" customHeight="1">
      <c r="B6" s="14" t="s">
        <v>12</v>
      </c>
      <c r="C6" s="5"/>
      <c r="D6" s="1" t="s">
        <v>45</v>
      </c>
      <c r="F6" s="7"/>
    </row>
    <row r="7" spans="2:8" s="1" customFormat="1" ht="15" customHeight="1">
      <c r="B7" s="14"/>
      <c r="C7" s="5"/>
      <c r="D7" s="12"/>
      <c r="G7" s="13">
        <f>IssueName</f>
        <v>0</v>
      </c>
      <c r="H7" s="13"/>
    </row>
    <row r="8" spans="2:8" s="1" customFormat="1" ht="15" customHeight="1">
      <c r="B8" s="14"/>
      <c r="C8" s="5"/>
      <c r="H8" s="1" t="s">
        <v>13</v>
      </c>
    </row>
    <row r="9" spans="2:8" s="1" customFormat="1" ht="15" customHeight="1">
      <c r="H9" s="1" t="s">
        <v>14</v>
      </c>
    </row>
    <row r="10" spans="2:8" s="1" customFormat="1" ht="15" customHeight="1">
      <c r="H10" s="1" t="s">
        <v>15</v>
      </c>
    </row>
    <row r="11" spans="2:8" s="1" customFormat="1" ht="15" customHeight="1">
      <c r="H11" s="1" t="s">
        <v>16</v>
      </c>
    </row>
    <row r="12" spans="2:8" s="1" customFormat="1" ht="15" customHeight="1">
      <c r="H12" s="1" t="s">
        <v>17</v>
      </c>
    </row>
    <row r="13" spans="2:8" s="1" customFormat="1" ht="15" customHeight="1">
      <c r="H13" s="1" t="s">
        <v>18</v>
      </c>
    </row>
    <row r="14" spans="2:8" s="1" customFormat="1" ht="15" customHeight="1">
      <c r="H14" s="1" t="s">
        <v>19</v>
      </c>
    </row>
    <row r="15" spans="2:8" s="1" customFormat="1" ht="15" customHeight="1">
      <c r="H15" s="1" t="s">
        <v>20</v>
      </c>
    </row>
    <row r="16" spans="2:8" s="1" customFormat="1" ht="15" customHeight="1">
      <c r="H16" s="1" t="s">
        <v>21</v>
      </c>
    </row>
    <row r="17" spans="2:8" s="1" customFormat="1" ht="15" customHeight="1">
      <c r="H17" s="1" t="s">
        <v>22</v>
      </c>
    </row>
    <row r="18" spans="2:8" s="1" customFormat="1" ht="15" customHeight="1"/>
    <row r="19" spans="2:8" s="1" customFormat="1" ht="15" customHeight="1"/>
    <row r="20" spans="2:8" s="1" customFormat="1" ht="15" customHeight="1"/>
    <row r="21" spans="2:8" s="1" customFormat="1" ht="15" customHeight="1">
      <c r="B21" s="1" t="s">
        <v>23</v>
      </c>
      <c r="D21" s="1" t="s">
        <v>24</v>
      </c>
    </row>
    <row r="22" spans="2:8" ht="15" customHeight="1">
      <c r="D22" s="1"/>
      <c r="G22" s="1"/>
    </row>
    <row r="23" spans="2:8" ht="15" customHeight="1">
      <c r="D23" s="1"/>
      <c r="G23" s="1"/>
    </row>
    <row r="25" spans="2:8" ht="15" customHeight="1">
      <c r="B25" t="s">
        <v>25</v>
      </c>
      <c r="D25" t="s">
        <v>26</v>
      </c>
    </row>
  </sheetData>
  <mergeCells count="5">
    <mergeCell ref="B2:H2"/>
    <mergeCell ref="B3:H3"/>
    <mergeCell ref="B4:D4"/>
    <mergeCell ref="F4:G4"/>
    <mergeCell ref="B6:B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getMunexFile">
                <anchor>
                  <from>
                    <xdr:col>1</xdr:col>
                    <xdr:colOff>628650</xdr:colOff>
                    <xdr:row>14</xdr:row>
                    <xdr:rowOff>171450</xdr:rowOff>
                  </from>
                  <to>
                    <xdr:col>4</xdr:col>
                    <xdr:colOff>561975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getMunexFile">
                <anchor>
                  <from>
                    <xdr:col>1</xdr:col>
                    <xdr:colOff>628650</xdr:colOff>
                    <xdr:row>18</xdr:row>
                    <xdr:rowOff>171450</xdr:rowOff>
                  </from>
                  <to>
                    <xdr:col>4</xdr:col>
                    <xdr:colOff>561975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getMunexFile">
                <anchor>
                  <from>
                    <xdr:col>1</xdr:col>
                    <xdr:colOff>352425</xdr:colOff>
                    <xdr:row>22</xdr:row>
                    <xdr:rowOff>180975</xdr:rowOff>
                  </from>
                  <to>
                    <xdr:col>4</xdr:col>
                    <xdr:colOff>285750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getMunexFile">
                <anchor>
                  <from>
                    <xdr:col>5</xdr:col>
                    <xdr:colOff>390525</xdr:colOff>
                    <xdr:row>22</xdr:row>
                    <xdr:rowOff>180975</xdr:rowOff>
                  </from>
                  <to>
                    <xdr:col>7</xdr:col>
                    <xdr:colOff>657225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getMunexFile">
                <anchor>
                  <from>
                    <xdr:col>3</xdr:col>
                    <xdr:colOff>28575</xdr:colOff>
                    <xdr:row>6</xdr:row>
                    <xdr:rowOff>28575</xdr:rowOff>
                  </from>
                  <to>
                    <xdr:col>4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1:C10"/>
  <sheetViews>
    <sheetView workbookViewId="0">
      <selection activeCell="I22" sqref="I22"/>
    </sheetView>
  </sheetViews>
  <sheetFormatPr defaultRowHeight="15"/>
  <cols>
    <col min="2" max="2" width="19.140625" bestFit="1" customWidth="1"/>
    <col min="3" max="3" width="14.5703125" customWidth="1"/>
  </cols>
  <sheetData>
    <row r="1" spans="1:3">
      <c r="A1" t="s">
        <v>1</v>
      </c>
    </row>
    <row r="4" spans="1:3">
      <c r="B4" t="s">
        <v>4</v>
      </c>
      <c r="C4" t="s">
        <v>5</v>
      </c>
    </row>
    <row r="5" spans="1:3">
      <c r="B5" t="s">
        <v>2</v>
      </c>
      <c r="C5" t="s">
        <v>6</v>
      </c>
    </row>
    <row r="6" spans="1:3">
      <c r="B6" t="s">
        <v>3</v>
      </c>
      <c r="C6" t="s">
        <v>0</v>
      </c>
    </row>
    <row r="9" spans="1:3">
      <c r="B9" t="s">
        <v>7</v>
      </c>
      <c r="C9" s="1" t="s">
        <v>28</v>
      </c>
    </row>
    <row r="10" spans="1:3">
      <c r="B10" t="s">
        <v>8</v>
      </c>
      <c r="C10" s="1" t="s">
        <v>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35"/>
  <sheetViews>
    <sheetView showGridLines="0" workbookViewId="0">
      <selection activeCell="F29" sqref="F29"/>
    </sheetView>
  </sheetViews>
  <sheetFormatPr defaultColWidth="3.28515625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30.28515625" style="20" customWidth="1"/>
    <col min="5" max="5" width="39.85546875" style="20" customWidth="1"/>
    <col min="6" max="7" width="11.42578125" style="20" customWidth="1"/>
    <col min="8" max="9" width="0.42578125" style="20" customWidth="1"/>
    <col min="10" max="10" width="3.28515625" style="20"/>
    <col min="11" max="256" width="13.28515625" style="20" customWidth="1"/>
    <col min="257" max="16384" width="3.28515625" style="20"/>
  </cols>
  <sheetData>
    <row r="1" spans="4:8" ht="2.1" customHeight="1">
      <c r="H1" s="20" t="s">
        <v>47</v>
      </c>
    </row>
    <row r="2" spans="4:8" ht="3.75" customHeight="1"/>
    <row r="3" spans="4:8" ht="12.75" customHeight="1">
      <c r="D3" s="21" t="s">
        <v>48</v>
      </c>
      <c r="E3" s="21"/>
      <c r="F3" s="21"/>
    </row>
    <row r="4" spans="4:8" ht="3.2" customHeight="1">
      <c r="D4" s="21"/>
      <c r="E4" s="21"/>
      <c r="F4" s="21"/>
    </row>
    <row r="5" spans="4:8" ht="18.75" customHeight="1">
      <c r="D5" s="22" t="s">
        <v>49</v>
      </c>
      <c r="E5" s="22"/>
      <c r="F5" s="22"/>
    </row>
    <row r="6" spans="4:8" ht="16.350000000000001" customHeight="1">
      <c r="D6" s="23" t="s">
        <v>50</v>
      </c>
      <c r="E6" s="23"/>
      <c r="F6" s="23"/>
    </row>
    <row r="7" spans="4:8" ht="15.6" customHeight="1">
      <c r="D7" s="24" t="s">
        <v>51</v>
      </c>
      <c r="E7" s="24"/>
      <c r="F7" s="24"/>
    </row>
    <row r="8" spans="4:8" ht="15.6" customHeight="1">
      <c r="D8" s="24" t="s">
        <v>52</v>
      </c>
      <c r="E8" s="24"/>
      <c r="F8" s="24"/>
    </row>
    <row r="9" spans="4:8" ht="12.75" customHeight="1">
      <c r="D9" s="24" t="s">
        <v>52</v>
      </c>
      <c r="E9" s="24"/>
      <c r="F9" s="24"/>
    </row>
    <row r="10" spans="4:8" ht="17.25" customHeight="1">
      <c r="D10" s="25" t="s">
        <v>53</v>
      </c>
      <c r="E10" s="25"/>
      <c r="F10" s="26"/>
    </row>
    <row r="11" spans="4:8" ht="4.3499999999999996" customHeight="1">
      <c r="D11" s="27"/>
      <c r="E11" s="27"/>
      <c r="F11" s="27"/>
    </row>
    <row r="12" spans="4:8" ht="12.75" customHeight="1">
      <c r="D12" s="28" t="s">
        <v>54</v>
      </c>
      <c r="E12" s="28"/>
      <c r="F12" s="29"/>
    </row>
    <row r="13" spans="4:8" ht="4.3499999999999996" customHeight="1"/>
    <row r="15" spans="4:8" ht="12.75" customHeight="1">
      <c r="D15" s="30" t="s">
        <v>55</v>
      </c>
      <c r="E15" s="30"/>
      <c r="F15" s="31" t="s">
        <v>52</v>
      </c>
    </row>
    <row r="16" spans="4:8" ht="10.9" customHeight="1">
      <c r="D16" s="32" t="s">
        <v>56</v>
      </c>
      <c r="E16" s="32"/>
      <c r="F16" s="33">
        <v>1565000</v>
      </c>
    </row>
    <row r="17" spans="4:6" ht="10.9" customHeight="1">
      <c r="D17" s="34" t="s">
        <v>47</v>
      </c>
      <c r="E17" s="34"/>
      <c r="F17" s="35" t="s">
        <v>52</v>
      </c>
    </row>
    <row r="18" spans="4:6" ht="10.9" customHeight="1">
      <c r="D18" s="36" t="s">
        <v>57</v>
      </c>
      <c r="E18" s="36"/>
      <c r="F18" s="37">
        <v>1565000</v>
      </c>
    </row>
    <row r="19" spans="4:6" ht="10.9" customHeight="1">
      <c r="D19" s="34" t="s">
        <v>47</v>
      </c>
      <c r="E19" s="34"/>
      <c r="F19" s="35" t="s">
        <v>52</v>
      </c>
    </row>
    <row r="20" spans="4:6" ht="10.9" customHeight="1">
      <c r="D20" s="30" t="s">
        <v>58</v>
      </c>
      <c r="E20" s="30"/>
      <c r="F20" s="38" t="s">
        <v>52</v>
      </c>
    </row>
    <row r="21" spans="4:6" ht="10.9" customHeight="1">
      <c r="D21" s="32" t="s">
        <v>59</v>
      </c>
      <c r="E21" s="32"/>
      <c r="F21" s="39">
        <v>1502666</v>
      </c>
    </row>
    <row r="22" spans="4:6" ht="10.9" customHeight="1">
      <c r="D22" s="32" t="s">
        <v>60</v>
      </c>
      <c r="E22" s="32"/>
      <c r="F22" s="39">
        <v>23313.200000000001</v>
      </c>
    </row>
    <row r="23" spans="4:6" ht="10.9" customHeight="1">
      <c r="D23" s="32" t="s">
        <v>61</v>
      </c>
      <c r="E23" s="32"/>
      <c r="F23" s="39">
        <v>21777</v>
      </c>
    </row>
    <row r="24" spans="4:6" ht="10.9" customHeight="1">
      <c r="D24" s="32" t="s">
        <v>62</v>
      </c>
      <c r="E24" s="32"/>
      <c r="F24" s="39">
        <v>15650</v>
      </c>
    </row>
    <row r="25" spans="4:6" ht="10.9" customHeight="1">
      <c r="D25" s="32" t="s">
        <v>63</v>
      </c>
      <c r="E25" s="32"/>
      <c r="F25" s="39">
        <v>1593.8</v>
      </c>
    </row>
    <row r="26" spans="4:6" ht="10.9" customHeight="1">
      <c r="D26" s="34" t="s">
        <v>47</v>
      </c>
      <c r="E26" s="34"/>
      <c r="F26" s="35" t="s">
        <v>52</v>
      </c>
    </row>
    <row r="27" spans="4:6" ht="10.9" customHeight="1">
      <c r="D27" s="36" t="s">
        <v>64</v>
      </c>
      <c r="E27" s="36"/>
      <c r="F27" s="37">
        <v>1565000</v>
      </c>
    </row>
    <row r="28" spans="4:6" ht="31.9" customHeight="1"/>
    <row r="29" spans="4:6" ht="403.7" customHeight="1"/>
    <row r="30" spans="4:6" ht="12.75" customHeight="1">
      <c r="D30" s="40" t="s">
        <v>65</v>
      </c>
      <c r="E30" s="40"/>
      <c r="F30" s="40"/>
    </row>
    <row r="31" spans="4:6" ht="9.4" customHeight="1">
      <c r="D31" s="41" t="s">
        <v>66</v>
      </c>
      <c r="E31" s="41"/>
      <c r="F31" s="41"/>
    </row>
    <row r="32" spans="4:6" ht="13.7" customHeight="1">
      <c r="D32" s="42" t="s">
        <v>66</v>
      </c>
      <c r="E32" s="42"/>
      <c r="F32" s="42"/>
    </row>
    <row r="33" spans="1:6" ht="9.1999999999999993" customHeight="1">
      <c r="D33" s="43" t="s">
        <v>66</v>
      </c>
      <c r="E33" s="43"/>
      <c r="F33" s="44" t="s">
        <v>52</v>
      </c>
    </row>
    <row r="34" spans="1:6" ht="0.75" customHeight="1"/>
    <row r="35" spans="1:6" ht="2.1" customHeight="1">
      <c r="A35" s="20" t="s">
        <v>47</v>
      </c>
    </row>
  </sheetData>
  <dataConsolidate/>
  <printOptions horizontalCentered="1"/>
  <pageMargins left="0.25" right="0.25" top="0.25" bottom="0.25" header="0.5" footer="0.5"/>
  <pageSetup scale="9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82"/>
  <sheetViews>
    <sheetView showGridLines="0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1.85546875" style="20" customWidth="1"/>
    <col min="6" max="6" width="11.42578125" style="20" customWidth="1"/>
    <col min="7" max="7" width="1.85546875" style="20" customWidth="1"/>
    <col min="8" max="8" width="7.5703125" style="20" customWidth="1"/>
    <col min="9" max="9" width="1.85546875" style="20" customWidth="1"/>
    <col min="10" max="10" width="10" style="20" customWidth="1"/>
    <col min="11" max="11" width="1.85546875" style="20" customWidth="1"/>
    <col min="12" max="12" width="11.42578125" style="20" customWidth="1"/>
    <col min="13" max="13" width="1.85546875" style="20" customWidth="1"/>
    <col min="14" max="14" width="11.42578125" style="20" customWidth="1"/>
    <col min="15" max="15" width="1.85546875" style="20" customWidth="1"/>
    <col min="16" max="16" width="10.28515625" style="20" customWidth="1"/>
    <col min="17" max="17" width="11.42578125" style="20" customWidth="1"/>
    <col min="18" max="19" width="0.42578125" style="20" customWidth="1"/>
    <col min="20" max="20" width="1" style="20"/>
    <col min="21" max="256" width="13.28515625" style="20" customWidth="1"/>
    <col min="257" max="16384" width="1" style="20"/>
  </cols>
  <sheetData>
    <row r="1" spans="4:18" ht="2.1" customHeight="1">
      <c r="R1" s="20" t="s">
        <v>47</v>
      </c>
    </row>
    <row r="2" spans="4:18" ht="3.75" customHeight="1"/>
    <row r="3" spans="4:18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</row>
    <row r="4" spans="4:18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</row>
    <row r="5" spans="4:18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4:18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4:18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</row>
    <row r="8" spans="4:18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24"/>
    </row>
    <row r="9" spans="4:18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4:18" ht="17.25" customHeight="1">
      <c r="D10" s="25" t="s">
        <v>67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6"/>
    </row>
    <row r="11" spans="4:18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</row>
    <row r="12" spans="4:18" ht="1.1499999999999999" customHeight="1"/>
    <row r="13" spans="4:18" ht="12.75" customHeight="1"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</row>
    <row r="14" spans="4:18" ht="23.25" customHeight="1">
      <c r="D14" s="46" t="s">
        <v>68</v>
      </c>
      <c r="E14" s="46"/>
      <c r="F14" s="46" t="s">
        <v>69</v>
      </c>
      <c r="G14" s="46"/>
      <c r="H14" s="46" t="s">
        <v>70</v>
      </c>
      <c r="I14" s="46"/>
      <c r="J14" s="46" t="s">
        <v>71</v>
      </c>
      <c r="K14" s="46"/>
      <c r="L14" s="46" t="s">
        <v>72</v>
      </c>
      <c r="M14" s="46"/>
      <c r="N14" s="46" t="s">
        <v>73</v>
      </c>
      <c r="O14" s="46"/>
      <c r="P14" s="46" t="s">
        <v>74</v>
      </c>
    </row>
    <row r="15" spans="4:18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4:18" ht="0.95" customHeigh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8"/>
    </row>
    <row r="17" spans="4:16" ht="10.9" customHeight="1">
      <c r="D17" s="50">
        <v>41053</v>
      </c>
      <c r="E17" s="51"/>
      <c r="F17" s="52">
        <v>0</v>
      </c>
      <c r="G17" s="52"/>
      <c r="H17" s="53">
        <v>0</v>
      </c>
      <c r="I17" s="53"/>
      <c r="J17" s="52">
        <v>0</v>
      </c>
      <c r="K17" s="52"/>
      <c r="L17" s="52">
        <v>0</v>
      </c>
      <c r="M17" s="52"/>
      <c r="N17" s="52">
        <v>0</v>
      </c>
      <c r="O17" s="52"/>
      <c r="P17" s="54">
        <v>0</v>
      </c>
    </row>
    <row r="18" spans="4:16" ht="10.9" customHeight="1">
      <c r="D18" s="50">
        <v>41306</v>
      </c>
      <c r="E18" s="51"/>
      <c r="F18" s="52">
        <v>0</v>
      </c>
      <c r="G18" s="52"/>
      <c r="H18" s="53">
        <v>0</v>
      </c>
      <c r="I18" s="53"/>
      <c r="J18" s="52">
        <v>23313.200000000001</v>
      </c>
      <c r="K18" s="52"/>
      <c r="L18" s="52">
        <v>23313.200000000001</v>
      </c>
      <c r="M18" s="52"/>
      <c r="N18" s="52">
        <v>24478.86</v>
      </c>
      <c r="O18" s="52"/>
      <c r="P18" s="54">
        <v>24478.86</v>
      </c>
    </row>
    <row r="19" spans="4:16" ht="10.9" customHeight="1">
      <c r="D19" s="50">
        <v>41487</v>
      </c>
      <c r="E19" s="51"/>
      <c r="F19" s="52">
        <v>0</v>
      </c>
      <c r="G19" s="52"/>
      <c r="H19" s="53">
        <v>0</v>
      </c>
      <c r="I19" s="53"/>
      <c r="J19" s="52">
        <v>16989.38</v>
      </c>
      <c r="K19" s="52"/>
      <c r="L19" s="52">
        <v>16989.38</v>
      </c>
      <c r="M19" s="52"/>
      <c r="N19" s="52">
        <v>17838.848999999998</v>
      </c>
      <c r="O19" s="52"/>
      <c r="P19" s="54">
        <v>0</v>
      </c>
    </row>
    <row r="20" spans="4:16" ht="10.9" customHeight="1">
      <c r="D20" s="50">
        <v>41671</v>
      </c>
      <c r="E20" s="51"/>
      <c r="F20" s="52">
        <v>0</v>
      </c>
      <c r="G20" s="52"/>
      <c r="H20" s="53">
        <v>0</v>
      </c>
      <c r="I20" s="53"/>
      <c r="J20" s="52">
        <v>16989.38</v>
      </c>
      <c r="K20" s="52"/>
      <c r="L20" s="52">
        <v>16989.38</v>
      </c>
      <c r="M20" s="52"/>
      <c r="N20" s="52">
        <v>17838.848999999998</v>
      </c>
      <c r="O20" s="52"/>
      <c r="P20" s="54">
        <v>35677.697999999997</v>
      </c>
    </row>
    <row r="21" spans="4:16" ht="10.9" customHeight="1">
      <c r="D21" s="50">
        <v>41852</v>
      </c>
      <c r="E21" s="50"/>
      <c r="F21" s="54">
        <v>0</v>
      </c>
      <c r="G21" s="54"/>
      <c r="H21" s="55">
        <v>0</v>
      </c>
      <c r="I21" s="55"/>
      <c r="J21" s="54">
        <v>16989.38</v>
      </c>
      <c r="K21" s="54"/>
      <c r="L21" s="54">
        <v>16989.38</v>
      </c>
      <c r="M21" s="54"/>
      <c r="N21" s="54">
        <v>17838.848999999998</v>
      </c>
      <c r="O21" s="54"/>
      <c r="P21" s="54">
        <v>0</v>
      </c>
    </row>
    <row r="22" spans="4:16" ht="10.9" customHeight="1">
      <c r="D22" s="50">
        <v>42036</v>
      </c>
      <c r="E22" s="51"/>
      <c r="F22" s="52">
        <v>90000</v>
      </c>
      <c r="G22" s="52"/>
      <c r="H22" s="53">
        <v>0.75</v>
      </c>
      <c r="I22" s="53"/>
      <c r="J22" s="52">
        <v>16989.38</v>
      </c>
      <c r="K22" s="52"/>
      <c r="L22" s="52">
        <v>106989.38</v>
      </c>
      <c r="M22" s="52"/>
      <c r="N22" s="52">
        <v>112338.849</v>
      </c>
      <c r="O22" s="52"/>
      <c r="P22" s="54">
        <v>130177.698</v>
      </c>
    </row>
    <row r="23" spans="4:16" ht="10.9" customHeight="1">
      <c r="D23" s="50">
        <v>42217</v>
      </c>
      <c r="E23" s="51"/>
      <c r="F23" s="52">
        <v>0</v>
      </c>
      <c r="G23" s="52"/>
      <c r="H23" s="53">
        <v>0</v>
      </c>
      <c r="I23" s="53"/>
      <c r="J23" s="52">
        <v>16651.88</v>
      </c>
      <c r="K23" s="52"/>
      <c r="L23" s="52">
        <v>16651.88</v>
      </c>
      <c r="M23" s="52"/>
      <c r="N23" s="52">
        <v>17484.473999999998</v>
      </c>
      <c r="O23" s="52"/>
      <c r="P23" s="54">
        <v>0</v>
      </c>
    </row>
    <row r="24" spans="4:16" ht="10.9" customHeight="1">
      <c r="D24" s="50">
        <v>42401</v>
      </c>
      <c r="E24" s="51"/>
      <c r="F24" s="52">
        <v>95000</v>
      </c>
      <c r="G24" s="52"/>
      <c r="H24" s="53">
        <v>1</v>
      </c>
      <c r="I24" s="53"/>
      <c r="J24" s="52">
        <v>16651.88</v>
      </c>
      <c r="K24" s="52"/>
      <c r="L24" s="52">
        <v>111651.88</v>
      </c>
      <c r="M24" s="52"/>
      <c r="N24" s="52">
        <v>117234.474</v>
      </c>
      <c r="O24" s="52"/>
      <c r="P24" s="54">
        <v>134718.948</v>
      </c>
    </row>
    <row r="25" spans="4:16" ht="10.9" customHeight="1">
      <c r="D25" s="50">
        <v>42583</v>
      </c>
      <c r="E25" s="51"/>
      <c r="F25" s="52">
        <v>0</v>
      </c>
      <c r="G25" s="52"/>
      <c r="H25" s="53">
        <v>0</v>
      </c>
      <c r="I25" s="53"/>
      <c r="J25" s="52">
        <v>16176.88</v>
      </c>
      <c r="K25" s="52"/>
      <c r="L25" s="52">
        <v>16176.88</v>
      </c>
      <c r="M25" s="52"/>
      <c r="N25" s="52">
        <v>16985.723999999998</v>
      </c>
      <c r="O25" s="52"/>
      <c r="P25" s="54">
        <v>0</v>
      </c>
    </row>
    <row r="26" spans="4:16" ht="10.9" customHeight="1">
      <c r="D26" s="50">
        <v>42767</v>
      </c>
      <c r="E26" s="50"/>
      <c r="F26" s="54">
        <v>95000</v>
      </c>
      <c r="G26" s="54"/>
      <c r="H26" s="55">
        <v>1.25</v>
      </c>
      <c r="I26" s="55"/>
      <c r="J26" s="54">
        <v>16176.88</v>
      </c>
      <c r="K26" s="54"/>
      <c r="L26" s="54">
        <v>111176.88</v>
      </c>
      <c r="M26" s="54"/>
      <c r="N26" s="54">
        <v>116735.724</v>
      </c>
      <c r="O26" s="54"/>
      <c r="P26" s="54">
        <v>133721.448</v>
      </c>
    </row>
    <row r="27" spans="4:16" ht="10.9" customHeight="1">
      <c r="D27" s="50">
        <v>42948</v>
      </c>
      <c r="E27" s="51"/>
      <c r="F27" s="52">
        <v>0</v>
      </c>
      <c r="G27" s="52"/>
      <c r="H27" s="53">
        <v>0</v>
      </c>
      <c r="I27" s="53"/>
      <c r="J27" s="52">
        <v>15583.13</v>
      </c>
      <c r="K27" s="52"/>
      <c r="L27" s="52">
        <v>15583.13</v>
      </c>
      <c r="M27" s="52"/>
      <c r="N27" s="52">
        <v>16362.2865</v>
      </c>
      <c r="O27" s="52"/>
      <c r="P27" s="54">
        <v>0</v>
      </c>
    </row>
    <row r="28" spans="4:16" ht="10.9" customHeight="1">
      <c r="D28" s="50">
        <v>43132</v>
      </c>
      <c r="E28" s="51"/>
      <c r="F28" s="52">
        <v>95000</v>
      </c>
      <c r="G28" s="52"/>
      <c r="H28" s="53">
        <v>1.5</v>
      </c>
      <c r="I28" s="53"/>
      <c r="J28" s="52">
        <v>15583.13</v>
      </c>
      <c r="K28" s="52"/>
      <c r="L28" s="52">
        <v>110583.13</v>
      </c>
      <c r="M28" s="52"/>
      <c r="N28" s="52">
        <v>116112.2865</v>
      </c>
      <c r="O28" s="52"/>
      <c r="P28" s="54">
        <v>132474.573</v>
      </c>
    </row>
    <row r="29" spans="4:16" ht="10.9" customHeight="1">
      <c r="D29" s="50">
        <v>43313</v>
      </c>
      <c r="E29" s="51"/>
      <c r="F29" s="52">
        <v>0</v>
      </c>
      <c r="G29" s="52"/>
      <c r="H29" s="53">
        <v>0</v>
      </c>
      <c r="I29" s="53"/>
      <c r="J29" s="52">
        <v>14870.63</v>
      </c>
      <c r="K29" s="52"/>
      <c r="L29" s="52">
        <v>14870.63</v>
      </c>
      <c r="M29" s="52"/>
      <c r="N29" s="52">
        <v>15614.1615</v>
      </c>
      <c r="O29" s="52"/>
      <c r="P29" s="54">
        <v>0</v>
      </c>
    </row>
    <row r="30" spans="4:16" ht="10.9" customHeight="1">
      <c r="D30" s="50">
        <v>43497</v>
      </c>
      <c r="E30" s="51"/>
      <c r="F30" s="52">
        <v>95000</v>
      </c>
      <c r="G30" s="52"/>
      <c r="H30" s="53">
        <v>1.7</v>
      </c>
      <c r="I30" s="53"/>
      <c r="J30" s="52">
        <v>14870.63</v>
      </c>
      <c r="K30" s="52"/>
      <c r="L30" s="52">
        <v>109870.63</v>
      </c>
      <c r="M30" s="52"/>
      <c r="N30" s="52">
        <v>115364.1615</v>
      </c>
      <c r="O30" s="52"/>
      <c r="P30" s="54">
        <v>130978.323</v>
      </c>
    </row>
    <row r="31" spans="4:16" ht="10.9" customHeight="1">
      <c r="D31" s="50">
        <v>43678</v>
      </c>
      <c r="E31" s="50"/>
      <c r="F31" s="54">
        <v>0</v>
      </c>
      <c r="G31" s="54"/>
      <c r="H31" s="55">
        <v>0</v>
      </c>
      <c r="I31" s="55"/>
      <c r="J31" s="54">
        <v>14063.13</v>
      </c>
      <c r="K31" s="54"/>
      <c r="L31" s="54">
        <v>14063.13</v>
      </c>
      <c r="M31" s="54"/>
      <c r="N31" s="54">
        <v>14766.2865</v>
      </c>
      <c r="O31" s="54"/>
      <c r="P31" s="54">
        <v>0</v>
      </c>
    </row>
    <row r="32" spans="4:16" ht="10.9" customHeight="1">
      <c r="D32" s="50">
        <v>43862</v>
      </c>
      <c r="E32" s="51"/>
      <c r="F32" s="52">
        <v>100000</v>
      </c>
      <c r="G32" s="52"/>
      <c r="H32" s="53">
        <v>1.9</v>
      </c>
      <c r="I32" s="53"/>
      <c r="J32" s="52">
        <v>14063.13</v>
      </c>
      <c r="K32" s="52"/>
      <c r="L32" s="52">
        <v>114063.13</v>
      </c>
      <c r="M32" s="52"/>
      <c r="N32" s="52">
        <v>119766.2865</v>
      </c>
      <c r="O32" s="52"/>
      <c r="P32" s="54">
        <v>134532.573</v>
      </c>
    </row>
    <row r="33" spans="4:16" ht="10.9" customHeight="1">
      <c r="D33" s="50">
        <v>44044</v>
      </c>
      <c r="E33" s="51"/>
      <c r="F33" s="52">
        <v>0</v>
      </c>
      <c r="G33" s="52"/>
      <c r="H33" s="53">
        <v>0</v>
      </c>
      <c r="I33" s="53"/>
      <c r="J33" s="52">
        <v>13113.13</v>
      </c>
      <c r="K33" s="52"/>
      <c r="L33" s="52">
        <v>13113.13</v>
      </c>
      <c r="M33" s="52"/>
      <c r="N33" s="52">
        <v>13768.7865</v>
      </c>
      <c r="O33" s="52"/>
      <c r="P33" s="54">
        <v>0</v>
      </c>
    </row>
    <row r="34" spans="4:16" ht="10.9" customHeight="1">
      <c r="D34" s="50">
        <v>44228</v>
      </c>
      <c r="E34" s="51"/>
      <c r="F34" s="52">
        <v>100000</v>
      </c>
      <c r="G34" s="52"/>
      <c r="H34" s="53">
        <v>2.0499999999999998</v>
      </c>
      <c r="I34" s="53"/>
      <c r="J34" s="52">
        <v>13113.13</v>
      </c>
      <c r="K34" s="52"/>
      <c r="L34" s="52">
        <v>113113.13</v>
      </c>
      <c r="M34" s="52"/>
      <c r="N34" s="52">
        <v>118768.7865</v>
      </c>
      <c r="O34" s="52"/>
      <c r="P34" s="54">
        <v>132537.573</v>
      </c>
    </row>
    <row r="35" spans="4:16" ht="10.9" customHeight="1">
      <c r="D35" s="50">
        <v>44409</v>
      </c>
      <c r="E35" s="51"/>
      <c r="F35" s="52">
        <v>0</v>
      </c>
      <c r="G35" s="52"/>
      <c r="H35" s="53">
        <v>0</v>
      </c>
      <c r="I35" s="53"/>
      <c r="J35" s="52">
        <v>12088.13</v>
      </c>
      <c r="K35" s="52"/>
      <c r="L35" s="52">
        <v>12088.13</v>
      </c>
      <c r="M35" s="52"/>
      <c r="N35" s="52">
        <v>12692.5365</v>
      </c>
      <c r="O35" s="52"/>
      <c r="P35" s="54">
        <v>0</v>
      </c>
    </row>
    <row r="36" spans="4:16" ht="10.9" customHeight="1">
      <c r="D36" s="50">
        <v>44593</v>
      </c>
      <c r="E36" s="50"/>
      <c r="F36" s="54">
        <v>100000</v>
      </c>
      <c r="G36" s="54"/>
      <c r="H36" s="55">
        <v>2.2000000000000002</v>
      </c>
      <c r="I36" s="55"/>
      <c r="J36" s="54">
        <v>12088.13</v>
      </c>
      <c r="K36" s="54"/>
      <c r="L36" s="54">
        <v>112088.13</v>
      </c>
      <c r="M36" s="54"/>
      <c r="N36" s="54">
        <v>117692.5365</v>
      </c>
      <c r="O36" s="54"/>
      <c r="P36" s="54">
        <v>130385.073</v>
      </c>
    </row>
    <row r="37" spans="4:16" ht="10.9" customHeight="1">
      <c r="D37" s="50">
        <v>44774</v>
      </c>
      <c r="E37" s="51"/>
      <c r="F37" s="52">
        <v>0</v>
      </c>
      <c r="G37" s="52"/>
      <c r="H37" s="53">
        <v>0</v>
      </c>
      <c r="I37" s="53"/>
      <c r="J37" s="52">
        <v>10988.13</v>
      </c>
      <c r="K37" s="52"/>
      <c r="L37" s="52">
        <v>10988.13</v>
      </c>
      <c r="M37" s="52"/>
      <c r="N37" s="52">
        <v>11537.5365</v>
      </c>
      <c r="O37" s="52"/>
      <c r="P37" s="54">
        <v>0</v>
      </c>
    </row>
    <row r="38" spans="4:16" ht="10.9" customHeight="1">
      <c r="D38" s="50">
        <v>44958</v>
      </c>
      <c r="E38" s="51"/>
      <c r="F38" s="52">
        <v>105000</v>
      </c>
      <c r="G38" s="52"/>
      <c r="H38" s="53">
        <v>2.4</v>
      </c>
      <c r="I38" s="53"/>
      <c r="J38" s="52">
        <v>10988.13</v>
      </c>
      <c r="K38" s="52"/>
      <c r="L38" s="52">
        <v>115988.13</v>
      </c>
      <c r="M38" s="52"/>
      <c r="N38" s="52">
        <v>121787.5365</v>
      </c>
      <c r="O38" s="52"/>
      <c r="P38" s="54">
        <v>133325.073</v>
      </c>
    </row>
    <row r="39" spans="4:16" ht="10.9" customHeight="1">
      <c r="D39" s="50">
        <v>45139</v>
      </c>
      <c r="E39" s="51"/>
      <c r="F39" s="52">
        <v>0</v>
      </c>
      <c r="G39" s="52"/>
      <c r="H39" s="53">
        <v>0</v>
      </c>
      <c r="I39" s="53"/>
      <c r="J39" s="52">
        <v>9728.1299999999992</v>
      </c>
      <c r="K39" s="52"/>
      <c r="L39" s="52">
        <v>9728.1299999999992</v>
      </c>
      <c r="M39" s="52"/>
      <c r="N39" s="52">
        <v>10214.5365</v>
      </c>
      <c r="O39" s="52"/>
      <c r="P39" s="54">
        <v>0</v>
      </c>
    </row>
    <row r="40" spans="4:16" ht="10.9" customHeight="1">
      <c r="D40" s="50">
        <v>45323</v>
      </c>
      <c r="E40" s="51"/>
      <c r="F40" s="52">
        <v>105000</v>
      </c>
      <c r="G40" s="52"/>
      <c r="H40" s="53">
        <v>2.5</v>
      </c>
      <c r="I40" s="53"/>
      <c r="J40" s="52">
        <v>9728.1299999999992</v>
      </c>
      <c r="K40" s="52"/>
      <c r="L40" s="52">
        <v>114728.13</v>
      </c>
      <c r="M40" s="52"/>
      <c r="N40" s="52">
        <v>120464.5365</v>
      </c>
      <c r="O40" s="52"/>
      <c r="P40" s="54">
        <v>130679.073</v>
      </c>
    </row>
    <row r="41" spans="4:16" ht="10.9" customHeight="1">
      <c r="D41" s="50">
        <v>45505</v>
      </c>
      <c r="E41" s="50"/>
      <c r="F41" s="54">
        <v>0</v>
      </c>
      <c r="G41" s="54"/>
      <c r="H41" s="55">
        <v>0</v>
      </c>
      <c r="I41" s="55"/>
      <c r="J41" s="54">
        <v>8415.630000000001</v>
      </c>
      <c r="K41" s="54"/>
      <c r="L41" s="54">
        <v>8415.630000000001</v>
      </c>
      <c r="M41" s="54"/>
      <c r="N41" s="54">
        <v>8836.411500000002</v>
      </c>
      <c r="O41" s="54"/>
      <c r="P41" s="54">
        <v>0</v>
      </c>
    </row>
    <row r="42" spans="4:16" ht="10.9" customHeight="1">
      <c r="D42" s="50">
        <v>45689</v>
      </c>
      <c r="E42" s="51"/>
      <c r="F42" s="52">
        <v>110000</v>
      </c>
      <c r="G42" s="52"/>
      <c r="H42" s="53">
        <v>2.625</v>
      </c>
      <c r="I42" s="53"/>
      <c r="J42" s="52">
        <v>8415.630000000001</v>
      </c>
      <c r="K42" s="52"/>
      <c r="L42" s="52">
        <v>118415.63</v>
      </c>
      <c r="M42" s="52"/>
      <c r="N42" s="52">
        <v>124336.4115</v>
      </c>
      <c r="O42" s="52"/>
      <c r="P42" s="54">
        <v>133172.823</v>
      </c>
    </row>
    <row r="43" spans="4:16" ht="10.9" customHeight="1">
      <c r="D43" s="50">
        <v>45870</v>
      </c>
      <c r="E43" s="51"/>
      <c r="F43" s="52">
        <v>0</v>
      </c>
      <c r="G43" s="52"/>
      <c r="H43" s="53">
        <v>0</v>
      </c>
      <c r="I43" s="53"/>
      <c r="J43" s="52">
        <v>6971.88</v>
      </c>
      <c r="K43" s="52"/>
      <c r="L43" s="52">
        <v>6971.88</v>
      </c>
      <c r="M43" s="52"/>
      <c r="N43" s="52">
        <v>7320.4740000000002</v>
      </c>
      <c r="O43" s="52"/>
      <c r="P43" s="54">
        <v>0</v>
      </c>
    </row>
    <row r="44" spans="4:16" ht="10.9" customHeight="1">
      <c r="D44" s="50">
        <v>46054</v>
      </c>
      <c r="E44" s="51"/>
      <c r="F44" s="52">
        <v>115000</v>
      </c>
      <c r="G44" s="52"/>
      <c r="H44" s="53">
        <v>2.75</v>
      </c>
      <c r="I44" s="53"/>
      <c r="J44" s="52">
        <v>6971.88</v>
      </c>
      <c r="K44" s="52"/>
      <c r="L44" s="52">
        <v>121971.88</v>
      </c>
      <c r="M44" s="52"/>
      <c r="N44" s="52">
        <v>128070.474</v>
      </c>
      <c r="O44" s="52"/>
      <c r="P44" s="54">
        <v>135390.948</v>
      </c>
    </row>
    <row r="45" spans="4:16" ht="10.9" customHeight="1">
      <c r="D45" s="50">
        <v>46235</v>
      </c>
      <c r="E45" s="51"/>
      <c r="F45" s="52">
        <v>0</v>
      </c>
      <c r="G45" s="52"/>
      <c r="H45" s="53">
        <v>0</v>
      </c>
      <c r="I45" s="53"/>
      <c r="J45" s="52">
        <v>5390.63</v>
      </c>
      <c r="K45" s="52"/>
      <c r="L45" s="52">
        <v>5390.63</v>
      </c>
      <c r="M45" s="52"/>
      <c r="N45" s="52">
        <v>5660.1615000000002</v>
      </c>
      <c r="O45" s="52"/>
      <c r="P45" s="54">
        <v>0</v>
      </c>
    </row>
    <row r="46" spans="4:16" ht="10.9" customHeight="1">
      <c r="D46" s="50">
        <v>46419</v>
      </c>
      <c r="E46" s="50"/>
      <c r="F46" s="54">
        <v>115000</v>
      </c>
      <c r="G46" s="54"/>
      <c r="H46" s="55">
        <v>2.875</v>
      </c>
      <c r="I46" s="55"/>
      <c r="J46" s="54">
        <v>5390.63</v>
      </c>
      <c r="K46" s="54"/>
      <c r="L46" s="54">
        <v>120390.63</v>
      </c>
      <c r="M46" s="54"/>
      <c r="N46" s="54">
        <v>126410.1615</v>
      </c>
      <c r="O46" s="54"/>
      <c r="P46" s="54">
        <v>132070.323</v>
      </c>
    </row>
    <row r="47" spans="4:16" ht="10.9" customHeight="1">
      <c r="D47" s="50">
        <v>46600</v>
      </c>
      <c r="E47" s="51"/>
      <c r="F47" s="52">
        <v>0</v>
      </c>
      <c r="G47" s="52"/>
      <c r="H47" s="53">
        <v>0</v>
      </c>
      <c r="I47" s="53"/>
      <c r="J47" s="52">
        <v>3737.5</v>
      </c>
      <c r="K47" s="52"/>
      <c r="L47" s="52">
        <v>3737.5</v>
      </c>
      <c r="M47" s="52"/>
      <c r="N47" s="52">
        <v>3924.375</v>
      </c>
      <c r="O47" s="52"/>
      <c r="P47" s="54">
        <v>0</v>
      </c>
    </row>
    <row r="48" spans="4:16" ht="10.9" customHeight="1">
      <c r="D48" s="50">
        <v>46784</v>
      </c>
      <c r="E48" s="51"/>
      <c r="F48" s="52">
        <v>120000</v>
      </c>
      <c r="G48" s="52"/>
      <c r="H48" s="53">
        <v>3</v>
      </c>
      <c r="I48" s="53"/>
      <c r="J48" s="52">
        <v>3737.5</v>
      </c>
      <c r="K48" s="52"/>
      <c r="L48" s="52">
        <v>123737.5</v>
      </c>
      <c r="M48" s="52"/>
      <c r="N48" s="52">
        <v>129924.375</v>
      </c>
      <c r="O48" s="52"/>
      <c r="P48" s="54">
        <v>133848.75</v>
      </c>
    </row>
    <row r="49" spans="4:16" ht="10.9" customHeight="1">
      <c r="D49" s="50">
        <v>46966</v>
      </c>
      <c r="E49" s="51"/>
      <c r="F49" s="52">
        <v>0</v>
      </c>
      <c r="G49" s="52"/>
      <c r="H49" s="53">
        <v>0</v>
      </c>
      <c r="I49" s="53"/>
      <c r="J49" s="52">
        <v>1937.5</v>
      </c>
      <c r="K49" s="52"/>
      <c r="L49" s="52">
        <v>1937.5</v>
      </c>
      <c r="M49" s="52"/>
      <c r="N49" s="52">
        <v>2034.375</v>
      </c>
      <c r="O49" s="52"/>
      <c r="P49" s="54">
        <v>0</v>
      </c>
    </row>
    <row r="50" spans="4:16" ht="10.9" customHeight="1">
      <c r="D50" s="50">
        <v>47150</v>
      </c>
      <c r="E50" s="51"/>
      <c r="F50" s="52">
        <v>125000</v>
      </c>
      <c r="G50" s="52"/>
      <c r="H50" s="53">
        <v>3.1</v>
      </c>
      <c r="I50" s="53"/>
      <c r="J50" s="52">
        <v>1937.5</v>
      </c>
      <c r="K50" s="52"/>
      <c r="L50" s="52">
        <v>126937.5</v>
      </c>
      <c r="M50" s="52"/>
      <c r="N50" s="52">
        <v>133284.375</v>
      </c>
      <c r="O50" s="52"/>
      <c r="P50" s="54">
        <v>135318.75</v>
      </c>
    </row>
    <row r="51" spans="4:16" ht="1.1499999999999999" customHeight="1"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8"/>
    </row>
    <row r="52" spans="4:16" ht="1.1499999999999999" customHeight="1"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</row>
    <row r="53" spans="4:16" ht="12.75" customHeight="1">
      <c r="D53" s="56">
        <v>0</v>
      </c>
      <c r="E53" s="56"/>
      <c r="F53" s="57">
        <v>1565000</v>
      </c>
      <c r="G53" s="57"/>
      <c r="H53" s="58">
        <v>0</v>
      </c>
      <c r="I53" s="58"/>
      <c r="J53" s="57">
        <v>390703.34</v>
      </c>
      <c r="K53" s="57"/>
      <c r="L53" s="57">
        <v>1955703.34</v>
      </c>
      <c r="M53" s="57"/>
      <c r="N53" s="57">
        <v>2053488.51</v>
      </c>
      <c r="O53" s="57"/>
      <c r="P53" s="57">
        <v>0</v>
      </c>
    </row>
    <row r="54" spans="4:16" ht="1.1499999999999999" customHeight="1"/>
    <row r="55" spans="4:16" ht="10.9" customHeight="1"/>
    <row r="56" spans="4:16" ht="10.9" customHeight="1">
      <c r="D56" s="30" t="s">
        <v>75</v>
      </c>
      <c r="E56" s="30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31" t="s">
        <v>52</v>
      </c>
    </row>
    <row r="57" spans="4:16" ht="10.9" customHeight="1">
      <c r="D57" s="60" t="s">
        <v>47</v>
      </c>
      <c r="E57" s="60"/>
      <c r="P57" s="61" t="s">
        <v>52</v>
      </c>
    </row>
    <row r="58" spans="4:16" ht="10.9" customHeight="1">
      <c r="D58" s="32" t="s">
        <v>76</v>
      </c>
      <c r="E58" s="32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62">
        <v>5242012</v>
      </c>
    </row>
    <row r="59" spans="4:16" ht="10.9" customHeight="1">
      <c r="D59" s="32" t="s">
        <v>77</v>
      </c>
      <c r="E59" s="32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62">
        <v>2012013</v>
      </c>
    </row>
    <row r="60" spans="4:16" ht="10.9" customHeight="1">
      <c r="D60" s="34" t="s">
        <v>47</v>
      </c>
      <c r="E60" s="60"/>
      <c r="P60" s="35" t="s">
        <v>52</v>
      </c>
    </row>
    <row r="61" spans="4:16" ht="10.9" customHeight="1">
      <c r="D61" s="30" t="s">
        <v>78</v>
      </c>
      <c r="E61" s="30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38" t="s">
        <v>52</v>
      </c>
    </row>
    <row r="62" spans="4:16" ht="10.9" customHeight="1">
      <c r="D62" s="34" t="s">
        <v>47</v>
      </c>
      <c r="E62" s="60"/>
      <c r="P62" s="35" t="s">
        <v>52</v>
      </c>
    </row>
    <row r="63" spans="4:16" ht="10.9" customHeight="1">
      <c r="D63" s="32" t="s">
        <v>79</v>
      </c>
      <c r="E63" s="32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33">
        <v>15793.7638888889</v>
      </c>
    </row>
    <row r="64" spans="4:16" ht="10.9" customHeight="1">
      <c r="D64" s="32" t="s">
        <v>80</v>
      </c>
      <c r="E64" s="32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63">
        <v>10.091861909833201</v>
      </c>
    </row>
    <row r="65" spans="4:16" ht="10.9" customHeight="1">
      <c r="D65" s="32" t="s">
        <v>81</v>
      </c>
      <c r="E65" s="32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64">
        <v>2.4737823279406199</v>
      </c>
    </row>
    <row r="66" spans="4:16" ht="10.9" customHeight="1">
      <c r="D66" s="34" t="s">
        <v>47</v>
      </c>
      <c r="E66" s="60"/>
      <c r="P66" s="35" t="s">
        <v>52</v>
      </c>
    </row>
    <row r="67" spans="4:16" ht="10.9" customHeight="1">
      <c r="D67" s="32" t="s">
        <v>82</v>
      </c>
      <c r="E67" s="32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64">
        <v>2.5728720706397001</v>
      </c>
    </row>
    <row r="68" spans="4:16" ht="10.9" customHeight="1">
      <c r="D68" s="32" t="s">
        <v>83</v>
      </c>
      <c r="E68" s="32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64">
        <v>2.5619332097206802</v>
      </c>
    </row>
    <row r="69" spans="4:16" ht="10.9" customHeight="1">
      <c r="D69" s="32" t="s">
        <v>84</v>
      </c>
      <c r="E69" s="32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64">
        <v>2.4476116666157801</v>
      </c>
    </row>
    <row r="70" spans="4:16" ht="10.9" customHeight="1">
      <c r="D70" s="32" t="s">
        <v>85</v>
      </c>
      <c r="E70" s="32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64">
        <v>2.7235608768270501</v>
      </c>
    </row>
    <row r="71" spans="4:16" ht="10.9" customHeight="1">
      <c r="D71" s="34" t="s">
        <v>47</v>
      </c>
      <c r="E71" s="60"/>
      <c r="P71" s="35" t="s">
        <v>52</v>
      </c>
    </row>
    <row r="72" spans="4:16" ht="10.9" customHeight="1">
      <c r="D72" s="30" t="s">
        <v>86</v>
      </c>
      <c r="E72" s="30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38" t="s">
        <v>52</v>
      </c>
    </row>
    <row r="73" spans="4:16" ht="10.9" customHeight="1">
      <c r="D73" s="32" t="s">
        <v>87</v>
      </c>
      <c r="E73" s="32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64">
        <v>2.4737823279406199</v>
      </c>
    </row>
    <row r="74" spans="4:16" ht="10.9" customHeight="1">
      <c r="D74" s="32" t="s">
        <v>88</v>
      </c>
      <c r="E74" s="32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63">
        <v>10.091861909833201</v>
      </c>
    </row>
    <row r="75" spans="4:16" ht="0.95" customHeight="1"/>
    <row r="76" spans="4:16" ht="0.95" customHeight="1"/>
    <row r="77" spans="4:16" ht="12.75" customHeight="1">
      <c r="D77" s="40" t="s">
        <v>65</v>
      </c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</row>
    <row r="78" spans="4:16" ht="9.4" customHeight="1">
      <c r="D78" s="41" t="s">
        <v>66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</row>
    <row r="79" spans="4:16" ht="13.7" customHeight="1">
      <c r="D79" s="42" t="s">
        <v>66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</row>
    <row r="80" spans="4:16" ht="9.1999999999999993" customHeight="1">
      <c r="D80" s="43" t="s">
        <v>66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4" t="s">
        <v>52</v>
      </c>
    </row>
    <row r="81" spans="1:1" ht="0.75" customHeight="1"/>
    <row r="82" spans="1:1" ht="2.1" customHeight="1">
      <c r="A82" s="20" t="s">
        <v>47</v>
      </c>
    </row>
  </sheetData>
  <printOptions horizontalCentered="1"/>
  <pageMargins left="0.26968662113298514" right="0.26968662113298514" top="0.26968662113298514" bottom="0.26968662113298514" header="0.5" footer="0.5"/>
  <pageSetup scale="93" orientation="portrait" horizontalDpi="0" verticalDpi="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T62"/>
  <sheetViews>
    <sheetView showGridLines="0" workbookViewId="0"/>
  </sheetViews>
  <sheetFormatPr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0.42578125" style="20" customWidth="1"/>
    <col min="6" max="6" width="11.42578125" style="20" customWidth="1"/>
    <col min="7" max="7" width="0.42578125" style="20" customWidth="1"/>
    <col min="8" max="8" width="7.5703125" style="20" customWidth="1"/>
    <col min="9" max="9" width="0.42578125" style="20" customWidth="1"/>
    <col min="10" max="10" width="10" style="20" customWidth="1"/>
    <col min="11" max="11" width="0.42578125" style="20" customWidth="1"/>
    <col min="12" max="12" width="11.42578125" style="20" customWidth="1"/>
    <col min="13" max="13" width="0.42578125" style="20" customWidth="1"/>
    <col min="14" max="14" width="9.42578125" style="20" customWidth="1"/>
    <col min="15" max="15" width="0.42578125" style="20" customWidth="1"/>
    <col min="16" max="16" width="11.42578125" style="20" customWidth="1"/>
    <col min="17" max="17" width="0.42578125" style="20" customWidth="1"/>
    <col min="18" max="18" width="9.140625" style="20"/>
    <col min="19" max="19" width="11.42578125" style="20" customWidth="1"/>
    <col min="20" max="21" width="0.42578125" style="20" customWidth="1"/>
    <col min="22" max="22" width="9.140625" style="20"/>
    <col min="23" max="256" width="13.28515625" style="20" customWidth="1"/>
    <col min="257" max="16384" width="9.140625" style="20"/>
  </cols>
  <sheetData>
    <row r="1" spans="4:20" ht="2.1" customHeight="1">
      <c r="T1" s="20" t="s">
        <v>47</v>
      </c>
    </row>
    <row r="2" spans="4:20" ht="3.75" customHeight="1"/>
    <row r="3" spans="4:20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4:20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4:20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4:20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20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4:20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24"/>
    </row>
    <row r="9" spans="4:20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4:20" ht="17.25" customHeight="1">
      <c r="D10" s="25" t="s">
        <v>89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6"/>
    </row>
    <row r="11" spans="4:20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spans="4:20" ht="1.1499999999999999" customHeight="1"/>
    <row r="13" spans="4:20" ht="12.75" customHeight="1"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</row>
    <row r="14" spans="4:20" ht="23.25" customHeight="1">
      <c r="D14" s="46" t="s">
        <v>68</v>
      </c>
      <c r="E14" s="46"/>
      <c r="F14" s="46" t="s">
        <v>69</v>
      </c>
      <c r="G14" s="46"/>
      <c r="H14" s="46" t="s">
        <v>70</v>
      </c>
      <c r="I14" s="46"/>
      <c r="J14" s="46" t="s">
        <v>71</v>
      </c>
      <c r="K14" s="46"/>
      <c r="L14" s="46" t="s">
        <v>72</v>
      </c>
      <c r="M14" s="46"/>
      <c r="N14" s="46" t="s">
        <v>90</v>
      </c>
      <c r="O14" s="46"/>
      <c r="P14" s="46" t="s">
        <v>91</v>
      </c>
      <c r="Q14" s="46"/>
      <c r="R14" s="46" t="s">
        <v>74</v>
      </c>
    </row>
    <row r="15" spans="4:20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4:20" ht="0.95" customHeigh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8"/>
    </row>
    <row r="17" spans="4:18" ht="10.9" customHeight="1">
      <c r="D17" s="50">
        <v>41053</v>
      </c>
      <c r="E17" s="51"/>
      <c r="F17" s="52">
        <v>0</v>
      </c>
      <c r="G17" s="52"/>
      <c r="H17" s="53">
        <v>0</v>
      </c>
      <c r="I17" s="53"/>
      <c r="J17" s="52">
        <v>0</v>
      </c>
      <c r="K17" s="52"/>
      <c r="L17" s="52">
        <v>0</v>
      </c>
      <c r="M17" s="52"/>
      <c r="N17" s="52">
        <v>0</v>
      </c>
      <c r="O17" s="52"/>
      <c r="P17" s="52">
        <v>0</v>
      </c>
      <c r="Q17" s="52"/>
      <c r="R17" s="54">
        <v>0</v>
      </c>
    </row>
    <row r="18" spans="4:18" ht="10.9" customHeight="1">
      <c r="D18" s="50">
        <v>41306</v>
      </c>
      <c r="E18" s="51"/>
      <c r="F18" s="52">
        <v>0</v>
      </c>
      <c r="G18" s="52"/>
      <c r="H18" s="53">
        <v>0</v>
      </c>
      <c r="I18" s="53"/>
      <c r="J18" s="52">
        <v>23313.200000000001</v>
      </c>
      <c r="K18" s="52"/>
      <c r="L18" s="52">
        <v>23313.200000000001</v>
      </c>
      <c r="M18" s="52"/>
      <c r="N18" s="52">
        <v>-23313.200000000001</v>
      </c>
      <c r="O18" s="52"/>
      <c r="P18" s="52">
        <v>0</v>
      </c>
      <c r="Q18" s="52"/>
      <c r="R18" s="54">
        <v>0</v>
      </c>
    </row>
    <row r="19" spans="4:18" ht="10.9" customHeight="1">
      <c r="D19" s="50">
        <v>41487</v>
      </c>
      <c r="E19" s="51"/>
      <c r="F19" s="52">
        <v>0</v>
      </c>
      <c r="G19" s="52"/>
      <c r="H19" s="53">
        <v>0</v>
      </c>
      <c r="I19" s="53"/>
      <c r="J19" s="52">
        <v>16989.38</v>
      </c>
      <c r="K19" s="52"/>
      <c r="L19" s="52">
        <v>16989.38</v>
      </c>
      <c r="M19" s="52"/>
      <c r="N19" s="52">
        <v>0</v>
      </c>
      <c r="O19" s="52"/>
      <c r="P19" s="52">
        <v>16989.38</v>
      </c>
      <c r="Q19" s="52"/>
      <c r="R19" s="54">
        <v>0</v>
      </c>
    </row>
    <row r="20" spans="4:18" ht="10.9" customHeight="1">
      <c r="D20" s="50">
        <v>41671</v>
      </c>
      <c r="E20" s="51"/>
      <c r="F20" s="52">
        <v>0</v>
      </c>
      <c r="G20" s="52"/>
      <c r="H20" s="53">
        <v>0</v>
      </c>
      <c r="I20" s="53"/>
      <c r="J20" s="52">
        <v>16989.38</v>
      </c>
      <c r="K20" s="52"/>
      <c r="L20" s="52">
        <v>16989.38</v>
      </c>
      <c r="M20" s="52"/>
      <c r="N20" s="52">
        <v>0</v>
      </c>
      <c r="O20" s="52"/>
      <c r="P20" s="52">
        <v>16989.38</v>
      </c>
      <c r="Q20" s="52"/>
      <c r="R20" s="54">
        <v>33978.76</v>
      </c>
    </row>
    <row r="21" spans="4:18" ht="10.9" customHeight="1">
      <c r="D21" s="50">
        <v>41852</v>
      </c>
      <c r="E21" s="50"/>
      <c r="F21" s="54">
        <v>0</v>
      </c>
      <c r="G21" s="54"/>
      <c r="H21" s="55">
        <v>0</v>
      </c>
      <c r="I21" s="55"/>
      <c r="J21" s="54">
        <v>16989.38</v>
      </c>
      <c r="K21" s="54"/>
      <c r="L21" s="54">
        <v>16989.38</v>
      </c>
      <c r="M21" s="54"/>
      <c r="N21" s="54">
        <v>0</v>
      </c>
      <c r="O21" s="54"/>
      <c r="P21" s="54">
        <v>16989.38</v>
      </c>
      <c r="Q21" s="54"/>
      <c r="R21" s="54">
        <v>0</v>
      </c>
    </row>
    <row r="22" spans="4:18" ht="10.9" customHeight="1">
      <c r="D22" s="50">
        <v>42036</v>
      </c>
      <c r="E22" s="51"/>
      <c r="F22" s="52">
        <v>90000</v>
      </c>
      <c r="G22" s="52"/>
      <c r="H22" s="53">
        <v>0.75</v>
      </c>
      <c r="I22" s="53"/>
      <c r="J22" s="52">
        <v>16989.38</v>
      </c>
      <c r="K22" s="52"/>
      <c r="L22" s="52">
        <v>106989.38</v>
      </c>
      <c r="M22" s="52"/>
      <c r="N22" s="52">
        <v>0</v>
      </c>
      <c r="O22" s="52"/>
      <c r="P22" s="52">
        <v>106989.38</v>
      </c>
      <c r="Q22" s="52"/>
      <c r="R22" s="54">
        <v>123978.76</v>
      </c>
    </row>
    <row r="23" spans="4:18" ht="10.9" customHeight="1">
      <c r="D23" s="50">
        <v>42217</v>
      </c>
      <c r="E23" s="51"/>
      <c r="F23" s="52">
        <v>0</v>
      </c>
      <c r="G23" s="52"/>
      <c r="H23" s="53">
        <v>0</v>
      </c>
      <c r="I23" s="53"/>
      <c r="J23" s="52">
        <v>16651.88</v>
      </c>
      <c r="K23" s="52"/>
      <c r="L23" s="52">
        <v>16651.88</v>
      </c>
      <c r="M23" s="52"/>
      <c r="N23" s="52">
        <v>0</v>
      </c>
      <c r="O23" s="52"/>
      <c r="P23" s="52">
        <v>16651.88</v>
      </c>
      <c r="Q23" s="52"/>
      <c r="R23" s="54">
        <v>0</v>
      </c>
    </row>
    <row r="24" spans="4:18" ht="10.9" customHeight="1">
      <c r="D24" s="50">
        <v>42401</v>
      </c>
      <c r="E24" s="51"/>
      <c r="F24" s="52">
        <v>95000</v>
      </c>
      <c r="G24" s="52"/>
      <c r="H24" s="53">
        <v>1</v>
      </c>
      <c r="I24" s="53"/>
      <c r="J24" s="52">
        <v>16651.88</v>
      </c>
      <c r="K24" s="52"/>
      <c r="L24" s="52">
        <v>111651.88</v>
      </c>
      <c r="M24" s="52"/>
      <c r="N24" s="52">
        <v>0</v>
      </c>
      <c r="O24" s="52"/>
      <c r="P24" s="52">
        <v>111651.88</v>
      </c>
      <c r="Q24" s="52"/>
      <c r="R24" s="54">
        <v>128303.76</v>
      </c>
    </row>
    <row r="25" spans="4:18" ht="10.9" customHeight="1">
      <c r="D25" s="50">
        <v>42583</v>
      </c>
      <c r="E25" s="51"/>
      <c r="F25" s="52">
        <v>0</v>
      </c>
      <c r="G25" s="52"/>
      <c r="H25" s="53">
        <v>0</v>
      </c>
      <c r="I25" s="53"/>
      <c r="J25" s="52">
        <v>16176.88</v>
      </c>
      <c r="K25" s="52"/>
      <c r="L25" s="52">
        <v>16176.88</v>
      </c>
      <c r="M25" s="52"/>
      <c r="N25" s="52">
        <v>0</v>
      </c>
      <c r="O25" s="52"/>
      <c r="P25" s="52">
        <v>16176.88</v>
      </c>
      <c r="Q25" s="52"/>
      <c r="R25" s="54">
        <v>0</v>
      </c>
    </row>
    <row r="26" spans="4:18" ht="10.9" customHeight="1">
      <c r="D26" s="50">
        <v>42767</v>
      </c>
      <c r="E26" s="50"/>
      <c r="F26" s="54">
        <v>95000</v>
      </c>
      <c r="G26" s="54"/>
      <c r="H26" s="55">
        <v>1.25</v>
      </c>
      <c r="I26" s="55"/>
      <c r="J26" s="54">
        <v>16176.88</v>
      </c>
      <c r="K26" s="54"/>
      <c r="L26" s="54">
        <v>111176.88</v>
      </c>
      <c r="M26" s="54"/>
      <c r="N26" s="54">
        <v>0</v>
      </c>
      <c r="O26" s="54"/>
      <c r="P26" s="54">
        <v>111176.88</v>
      </c>
      <c r="Q26" s="54"/>
      <c r="R26" s="54">
        <v>127353.76</v>
      </c>
    </row>
    <row r="27" spans="4:18" ht="10.9" customHeight="1">
      <c r="D27" s="50">
        <v>42948</v>
      </c>
      <c r="E27" s="51"/>
      <c r="F27" s="52">
        <v>0</v>
      </c>
      <c r="G27" s="52"/>
      <c r="H27" s="53">
        <v>0</v>
      </c>
      <c r="I27" s="53"/>
      <c r="J27" s="52">
        <v>15583.13</v>
      </c>
      <c r="K27" s="52"/>
      <c r="L27" s="52">
        <v>15583.13</v>
      </c>
      <c r="M27" s="52"/>
      <c r="N27" s="52">
        <v>0</v>
      </c>
      <c r="O27" s="52"/>
      <c r="P27" s="52">
        <v>15583.13</v>
      </c>
      <c r="Q27" s="52"/>
      <c r="R27" s="54">
        <v>0</v>
      </c>
    </row>
    <row r="28" spans="4:18" ht="10.9" customHeight="1">
      <c r="D28" s="50">
        <v>43132</v>
      </c>
      <c r="E28" s="51"/>
      <c r="F28" s="52">
        <v>95000</v>
      </c>
      <c r="G28" s="52"/>
      <c r="H28" s="53">
        <v>1.5</v>
      </c>
      <c r="I28" s="53"/>
      <c r="J28" s="52">
        <v>15583.13</v>
      </c>
      <c r="K28" s="52"/>
      <c r="L28" s="52">
        <v>110583.13</v>
      </c>
      <c r="M28" s="52"/>
      <c r="N28" s="52">
        <v>0</v>
      </c>
      <c r="O28" s="52"/>
      <c r="P28" s="52">
        <v>110583.13</v>
      </c>
      <c r="Q28" s="52"/>
      <c r="R28" s="54">
        <v>126166.26</v>
      </c>
    </row>
    <row r="29" spans="4:18" ht="10.9" customHeight="1">
      <c r="D29" s="50">
        <v>43313</v>
      </c>
      <c r="E29" s="51"/>
      <c r="F29" s="52">
        <v>0</v>
      </c>
      <c r="G29" s="52"/>
      <c r="H29" s="53">
        <v>0</v>
      </c>
      <c r="I29" s="53"/>
      <c r="J29" s="52">
        <v>14870.63</v>
      </c>
      <c r="K29" s="52"/>
      <c r="L29" s="52">
        <v>14870.63</v>
      </c>
      <c r="M29" s="52"/>
      <c r="N29" s="52">
        <v>0</v>
      </c>
      <c r="O29" s="52"/>
      <c r="P29" s="52">
        <v>14870.63</v>
      </c>
      <c r="Q29" s="52"/>
      <c r="R29" s="54">
        <v>0</v>
      </c>
    </row>
    <row r="30" spans="4:18" ht="10.9" customHeight="1">
      <c r="D30" s="50">
        <v>43497</v>
      </c>
      <c r="E30" s="51"/>
      <c r="F30" s="52">
        <v>95000</v>
      </c>
      <c r="G30" s="52"/>
      <c r="H30" s="53">
        <v>1.7</v>
      </c>
      <c r="I30" s="53"/>
      <c r="J30" s="52">
        <v>14870.63</v>
      </c>
      <c r="K30" s="52"/>
      <c r="L30" s="52">
        <v>109870.63</v>
      </c>
      <c r="M30" s="52"/>
      <c r="N30" s="52">
        <v>0</v>
      </c>
      <c r="O30" s="52"/>
      <c r="P30" s="52">
        <v>109870.63</v>
      </c>
      <c r="Q30" s="52"/>
      <c r="R30" s="54">
        <v>124741.26</v>
      </c>
    </row>
    <row r="31" spans="4:18" ht="10.9" customHeight="1">
      <c r="D31" s="50">
        <v>43678</v>
      </c>
      <c r="E31" s="50"/>
      <c r="F31" s="54">
        <v>0</v>
      </c>
      <c r="G31" s="54"/>
      <c r="H31" s="55">
        <v>0</v>
      </c>
      <c r="I31" s="55"/>
      <c r="J31" s="54">
        <v>14063.13</v>
      </c>
      <c r="K31" s="54"/>
      <c r="L31" s="54">
        <v>14063.13</v>
      </c>
      <c r="M31" s="54"/>
      <c r="N31" s="54">
        <v>0</v>
      </c>
      <c r="O31" s="54"/>
      <c r="P31" s="54">
        <v>14063.13</v>
      </c>
      <c r="Q31" s="54"/>
      <c r="R31" s="54">
        <v>0</v>
      </c>
    </row>
    <row r="32" spans="4:18" ht="10.9" customHeight="1">
      <c r="D32" s="50">
        <v>43862</v>
      </c>
      <c r="E32" s="51"/>
      <c r="F32" s="52">
        <v>100000</v>
      </c>
      <c r="G32" s="52"/>
      <c r="H32" s="53">
        <v>1.9</v>
      </c>
      <c r="I32" s="53"/>
      <c r="J32" s="52">
        <v>14063.13</v>
      </c>
      <c r="K32" s="52"/>
      <c r="L32" s="52">
        <v>114063.13</v>
      </c>
      <c r="M32" s="52"/>
      <c r="N32" s="52">
        <v>0</v>
      </c>
      <c r="O32" s="52"/>
      <c r="P32" s="52">
        <v>114063.13</v>
      </c>
      <c r="Q32" s="52"/>
      <c r="R32" s="54">
        <v>128126.26</v>
      </c>
    </row>
    <row r="33" spans="4:18" ht="10.9" customHeight="1">
      <c r="D33" s="50">
        <v>44044</v>
      </c>
      <c r="E33" s="51"/>
      <c r="F33" s="52">
        <v>0</v>
      </c>
      <c r="G33" s="52"/>
      <c r="H33" s="53">
        <v>0</v>
      </c>
      <c r="I33" s="53"/>
      <c r="J33" s="52">
        <v>13113.13</v>
      </c>
      <c r="K33" s="52"/>
      <c r="L33" s="52">
        <v>13113.13</v>
      </c>
      <c r="M33" s="52"/>
      <c r="N33" s="52">
        <v>0</v>
      </c>
      <c r="O33" s="52"/>
      <c r="P33" s="52">
        <v>13113.13</v>
      </c>
      <c r="Q33" s="52"/>
      <c r="R33" s="54">
        <v>0</v>
      </c>
    </row>
    <row r="34" spans="4:18" ht="10.9" customHeight="1">
      <c r="D34" s="50">
        <v>44228</v>
      </c>
      <c r="E34" s="51"/>
      <c r="F34" s="52">
        <v>100000</v>
      </c>
      <c r="G34" s="52"/>
      <c r="H34" s="53">
        <v>2.0499999999999998</v>
      </c>
      <c r="I34" s="53"/>
      <c r="J34" s="52">
        <v>13113.13</v>
      </c>
      <c r="K34" s="52"/>
      <c r="L34" s="52">
        <v>113113.13</v>
      </c>
      <c r="M34" s="52"/>
      <c r="N34" s="52">
        <v>0</v>
      </c>
      <c r="O34" s="52"/>
      <c r="P34" s="52">
        <v>113113.13</v>
      </c>
      <c r="Q34" s="52"/>
      <c r="R34" s="54">
        <v>126226.26</v>
      </c>
    </row>
    <row r="35" spans="4:18" ht="10.9" customHeight="1">
      <c r="D35" s="50">
        <v>44409</v>
      </c>
      <c r="E35" s="51"/>
      <c r="F35" s="52">
        <v>0</v>
      </c>
      <c r="G35" s="52"/>
      <c r="H35" s="53">
        <v>0</v>
      </c>
      <c r="I35" s="53"/>
      <c r="J35" s="52">
        <v>12088.13</v>
      </c>
      <c r="K35" s="52"/>
      <c r="L35" s="52">
        <v>12088.13</v>
      </c>
      <c r="M35" s="52"/>
      <c r="N35" s="52">
        <v>0</v>
      </c>
      <c r="O35" s="52"/>
      <c r="P35" s="52">
        <v>12088.13</v>
      </c>
      <c r="Q35" s="52"/>
      <c r="R35" s="54">
        <v>0</v>
      </c>
    </row>
    <row r="36" spans="4:18" ht="10.9" customHeight="1">
      <c r="D36" s="50">
        <v>44593</v>
      </c>
      <c r="E36" s="50"/>
      <c r="F36" s="54">
        <v>100000</v>
      </c>
      <c r="G36" s="54"/>
      <c r="H36" s="55">
        <v>2.2000000000000002</v>
      </c>
      <c r="I36" s="55"/>
      <c r="J36" s="54">
        <v>12088.13</v>
      </c>
      <c r="K36" s="54"/>
      <c r="L36" s="54">
        <v>112088.13</v>
      </c>
      <c r="M36" s="54"/>
      <c r="N36" s="54">
        <v>0</v>
      </c>
      <c r="O36" s="54"/>
      <c r="P36" s="54">
        <v>112088.13</v>
      </c>
      <c r="Q36" s="54"/>
      <c r="R36" s="54">
        <v>124176.26</v>
      </c>
    </row>
    <row r="37" spans="4:18" ht="10.9" customHeight="1">
      <c r="D37" s="50">
        <v>44774</v>
      </c>
      <c r="E37" s="51"/>
      <c r="F37" s="52">
        <v>0</v>
      </c>
      <c r="G37" s="52"/>
      <c r="H37" s="53">
        <v>0</v>
      </c>
      <c r="I37" s="53"/>
      <c r="J37" s="52">
        <v>10988.13</v>
      </c>
      <c r="K37" s="52"/>
      <c r="L37" s="52">
        <v>10988.13</v>
      </c>
      <c r="M37" s="52"/>
      <c r="N37" s="52">
        <v>0</v>
      </c>
      <c r="O37" s="52"/>
      <c r="P37" s="52">
        <v>10988.13</v>
      </c>
      <c r="Q37" s="52"/>
      <c r="R37" s="54">
        <v>0</v>
      </c>
    </row>
    <row r="38" spans="4:18" ht="10.9" customHeight="1">
      <c r="D38" s="50">
        <v>44958</v>
      </c>
      <c r="E38" s="51"/>
      <c r="F38" s="52">
        <v>105000</v>
      </c>
      <c r="G38" s="52"/>
      <c r="H38" s="53">
        <v>2.4</v>
      </c>
      <c r="I38" s="53"/>
      <c r="J38" s="52">
        <v>10988.13</v>
      </c>
      <c r="K38" s="52"/>
      <c r="L38" s="52">
        <v>115988.13</v>
      </c>
      <c r="M38" s="52"/>
      <c r="N38" s="52">
        <v>0</v>
      </c>
      <c r="O38" s="52"/>
      <c r="P38" s="52">
        <v>115988.13</v>
      </c>
      <c r="Q38" s="52"/>
      <c r="R38" s="54">
        <v>126976.26</v>
      </c>
    </row>
    <row r="39" spans="4:18" ht="10.9" customHeight="1">
      <c r="D39" s="50">
        <v>45139</v>
      </c>
      <c r="E39" s="51"/>
      <c r="F39" s="52">
        <v>0</v>
      </c>
      <c r="G39" s="52"/>
      <c r="H39" s="53">
        <v>0</v>
      </c>
      <c r="I39" s="53"/>
      <c r="J39" s="52">
        <v>9728.1299999999992</v>
      </c>
      <c r="K39" s="52"/>
      <c r="L39" s="52">
        <v>9728.1299999999992</v>
      </c>
      <c r="M39" s="52"/>
      <c r="N39" s="52">
        <v>0</v>
      </c>
      <c r="O39" s="52"/>
      <c r="P39" s="52">
        <v>9728.1299999999992</v>
      </c>
      <c r="Q39" s="52"/>
      <c r="R39" s="54">
        <v>0</v>
      </c>
    </row>
    <row r="40" spans="4:18" ht="10.9" customHeight="1">
      <c r="D40" s="50">
        <v>45323</v>
      </c>
      <c r="E40" s="51"/>
      <c r="F40" s="52">
        <v>105000</v>
      </c>
      <c r="G40" s="52"/>
      <c r="H40" s="53">
        <v>2.5</v>
      </c>
      <c r="I40" s="53"/>
      <c r="J40" s="52">
        <v>9728.1299999999992</v>
      </c>
      <c r="K40" s="52"/>
      <c r="L40" s="52">
        <v>114728.13</v>
      </c>
      <c r="M40" s="52"/>
      <c r="N40" s="52">
        <v>0</v>
      </c>
      <c r="O40" s="52"/>
      <c r="P40" s="52">
        <v>114728.13</v>
      </c>
      <c r="Q40" s="52"/>
      <c r="R40" s="54">
        <v>124456.26</v>
      </c>
    </row>
    <row r="41" spans="4:18" ht="10.9" customHeight="1">
      <c r="D41" s="50">
        <v>45505</v>
      </c>
      <c r="E41" s="50"/>
      <c r="F41" s="54">
        <v>0</v>
      </c>
      <c r="G41" s="54"/>
      <c r="H41" s="55">
        <v>0</v>
      </c>
      <c r="I41" s="55"/>
      <c r="J41" s="54">
        <v>8415.630000000001</v>
      </c>
      <c r="K41" s="54"/>
      <c r="L41" s="54">
        <v>8415.630000000001</v>
      </c>
      <c r="M41" s="54"/>
      <c r="N41" s="54">
        <v>0</v>
      </c>
      <c r="O41" s="54"/>
      <c r="P41" s="54">
        <v>8415.630000000001</v>
      </c>
      <c r="Q41" s="54"/>
      <c r="R41" s="54">
        <v>0</v>
      </c>
    </row>
    <row r="42" spans="4:18" ht="10.9" customHeight="1">
      <c r="D42" s="50">
        <v>45689</v>
      </c>
      <c r="E42" s="51"/>
      <c r="F42" s="52">
        <v>110000</v>
      </c>
      <c r="G42" s="52"/>
      <c r="H42" s="53">
        <v>2.625</v>
      </c>
      <c r="I42" s="53"/>
      <c r="J42" s="52">
        <v>8415.630000000001</v>
      </c>
      <c r="K42" s="52"/>
      <c r="L42" s="52">
        <v>118415.63</v>
      </c>
      <c r="M42" s="52"/>
      <c r="N42" s="52">
        <v>0</v>
      </c>
      <c r="O42" s="52"/>
      <c r="P42" s="52">
        <v>118415.63</v>
      </c>
      <c r="Q42" s="52"/>
      <c r="R42" s="54">
        <v>126831.26</v>
      </c>
    </row>
    <row r="43" spans="4:18" ht="10.9" customHeight="1">
      <c r="D43" s="50">
        <v>45870</v>
      </c>
      <c r="E43" s="51"/>
      <c r="F43" s="52">
        <v>0</v>
      </c>
      <c r="G43" s="52"/>
      <c r="H43" s="53">
        <v>0</v>
      </c>
      <c r="I43" s="53"/>
      <c r="J43" s="52">
        <v>6971.88</v>
      </c>
      <c r="K43" s="52"/>
      <c r="L43" s="52">
        <v>6971.88</v>
      </c>
      <c r="M43" s="52"/>
      <c r="N43" s="52">
        <v>0</v>
      </c>
      <c r="O43" s="52"/>
      <c r="P43" s="52">
        <v>6971.88</v>
      </c>
      <c r="Q43" s="52"/>
      <c r="R43" s="54">
        <v>0</v>
      </c>
    </row>
    <row r="44" spans="4:18" ht="10.9" customHeight="1">
      <c r="D44" s="50">
        <v>46054</v>
      </c>
      <c r="E44" s="51"/>
      <c r="F44" s="52">
        <v>115000</v>
      </c>
      <c r="G44" s="52"/>
      <c r="H44" s="53">
        <v>2.75</v>
      </c>
      <c r="I44" s="53"/>
      <c r="J44" s="52">
        <v>6971.88</v>
      </c>
      <c r="K44" s="52"/>
      <c r="L44" s="52">
        <v>121971.88</v>
      </c>
      <c r="M44" s="52"/>
      <c r="N44" s="52">
        <v>0</v>
      </c>
      <c r="O44" s="52"/>
      <c r="P44" s="52">
        <v>121971.88</v>
      </c>
      <c r="Q44" s="52"/>
      <c r="R44" s="54">
        <v>128943.76</v>
      </c>
    </row>
    <row r="45" spans="4:18" ht="10.9" customHeight="1">
      <c r="D45" s="50">
        <v>46235</v>
      </c>
      <c r="E45" s="51"/>
      <c r="F45" s="52">
        <v>0</v>
      </c>
      <c r="G45" s="52"/>
      <c r="H45" s="53">
        <v>0</v>
      </c>
      <c r="I45" s="53"/>
      <c r="J45" s="52">
        <v>5390.63</v>
      </c>
      <c r="K45" s="52"/>
      <c r="L45" s="52">
        <v>5390.63</v>
      </c>
      <c r="M45" s="52"/>
      <c r="N45" s="52">
        <v>0</v>
      </c>
      <c r="O45" s="52"/>
      <c r="P45" s="52">
        <v>5390.63</v>
      </c>
      <c r="Q45" s="52"/>
      <c r="R45" s="54">
        <v>0</v>
      </c>
    </row>
    <row r="46" spans="4:18" ht="10.9" customHeight="1">
      <c r="D46" s="50">
        <v>46419</v>
      </c>
      <c r="E46" s="50"/>
      <c r="F46" s="54">
        <v>115000</v>
      </c>
      <c r="G46" s="54"/>
      <c r="H46" s="55">
        <v>2.875</v>
      </c>
      <c r="I46" s="55"/>
      <c r="J46" s="54">
        <v>5390.63</v>
      </c>
      <c r="K46" s="54"/>
      <c r="L46" s="54">
        <v>120390.63</v>
      </c>
      <c r="M46" s="54"/>
      <c r="N46" s="54">
        <v>0</v>
      </c>
      <c r="O46" s="54"/>
      <c r="P46" s="54">
        <v>120390.63</v>
      </c>
      <c r="Q46" s="54"/>
      <c r="R46" s="54">
        <v>125781.26</v>
      </c>
    </row>
    <row r="47" spans="4:18" ht="10.9" customHeight="1">
      <c r="D47" s="50">
        <v>46600</v>
      </c>
      <c r="E47" s="51"/>
      <c r="F47" s="52">
        <v>0</v>
      </c>
      <c r="G47" s="52"/>
      <c r="H47" s="53">
        <v>0</v>
      </c>
      <c r="I47" s="53"/>
      <c r="J47" s="52">
        <v>3737.5</v>
      </c>
      <c r="K47" s="52"/>
      <c r="L47" s="52">
        <v>3737.5</v>
      </c>
      <c r="M47" s="52"/>
      <c r="N47" s="52">
        <v>0</v>
      </c>
      <c r="O47" s="52"/>
      <c r="P47" s="52">
        <v>3737.5</v>
      </c>
      <c r="Q47" s="52"/>
      <c r="R47" s="54">
        <v>0</v>
      </c>
    </row>
    <row r="48" spans="4:18" ht="10.9" customHeight="1">
      <c r="D48" s="50">
        <v>46784</v>
      </c>
      <c r="E48" s="51"/>
      <c r="F48" s="52">
        <v>120000</v>
      </c>
      <c r="G48" s="52"/>
      <c r="H48" s="53">
        <v>3</v>
      </c>
      <c r="I48" s="53"/>
      <c r="J48" s="52">
        <v>3737.5</v>
      </c>
      <c r="K48" s="52"/>
      <c r="L48" s="52">
        <v>123737.5</v>
      </c>
      <c r="M48" s="52"/>
      <c r="N48" s="52">
        <v>0</v>
      </c>
      <c r="O48" s="52"/>
      <c r="P48" s="52">
        <v>123737.5</v>
      </c>
      <c r="Q48" s="52"/>
      <c r="R48" s="54">
        <v>127475</v>
      </c>
    </row>
    <row r="49" spans="1:18" ht="10.9" customHeight="1">
      <c r="D49" s="50">
        <v>46966</v>
      </c>
      <c r="E49" s="51"/>
      <c r="F49" s="52">
        <v>0</v>
      </c>
      <c r="G49" s="52"/>
      <c r="H49" s="53">
        <v>0</v>
      </c>
      <c r="I49" s="53"/>
      <c r="J49" s="52">
        <v>1937.5</v>
      </c>
      <c r="K49" s="52"/>
      <c r="L49" s="52">
        <v>1937.5</v>
      </c>
      <c r="M49" s="52"/>
      <c r="N49" s="52">
        <v>0</v>
      </c>
      <c r="O49" s="52"/>
      <c r="P49" s="52">
        <v>1937.5</v>
      </c>
      <c r="Q49" s="52"/>
      <c r="R49" s="54">
        <v>0</v>
      </c>
    </row>
    <row r="50" spans="1:18" ht="10.9" customHeight="1">
      <c r="D50" s="50">
        <v>47150</v>
      </c>
      <c r="E50" s="51"/>
      <c r="F50" s="52">
        <v>125000</v>
      </c>
      <c r="G50" s="52"/>
      <c r="H50" s="53">
        <v>3.1</v>
      </c>
      <c r="I50" s="53"/>
      <c r="J50" s="52">
        <v>1937.5</v>
      </c>
      <c r="K50" s="52"/>
      <c r="L50" s="52">
        <v>126937.5</v>
      </c>
      <c r="M50" s="52"/>
      <c r="N50" s="52">
        <v>0</v>
      </c>
      <c r="O50" s="52"/>
      <c r="P50" s="52">
        <v>126937.5</v>
      </c>
      <c r="Q50" s="52"/>
      <c r="R50" s="54">
        <v>128875</v>
      </c>
    </row>
    <row r="51" spans="1:18" ht="1.1499999999999999" customHeight="1"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8"/>
    </row>
    <row r="52" spans="1:18" ht="1.1499999999999999" customHeight="1"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</row>
    <row r="53" spans="1:18" ht="12.75" customHeight="1">
      <c r="D53" s="56">
        <v>0</v>
      </c>
      <c r="E53" s="56"/>
      <c r="F53" s="57">
        <v>1565000</v>
      </c>
      <c r="G53" s="57"/>
      <c r="H53" s="58">
        <v>0</v>
      </c>
      <c r="I53" s="58"/>
      <c r="J53" s="57">
        <v>390703.34</v>
      </c>
      <c r="K53" s="57"/>
      <c r="L53" s="57">
        <v>1955703.34</v>
      </c>
      <c r="M53" s="57"/>
      <c r="N53" s="57">
        <v>-23313.200000000001</v>
      </c>
      <c r="O53" s="57"/>
      <c r="P53" s="57">
        <v>1932390.14</v>
      </c>
      <c r="Q53" s="57"/>
      <c r="R53" s="57">
        <v>0</v>
      </c>
    </row>
    <row r="54" spans="1:18" ht="1.1499999999999999" customHeight="1"/>
    <row r="55" spans="1:18" ht="33.950000000000003" customHeight="1"/>
    <row r="56" spans="1:18" ht="150.4" customHeight="1"/>
    <row r="57" spans="1:18" ht="12.75" customHeight="1">
      <c r="D57" s="40" t="s">
        <v>65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1:18" ht="9.4" customHeight="1">
      <c r="D58" s="41" t="s">
        <v>66</v>
      </c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</row>
    <row r="59" spans="1:18" ht="13.7" customHeight="1">
      <c r="D59" s="42" t="s">
        <v>66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</row>
    <row r="60" spans="1:18" ht="9.1999999999999993" customHeight="1">
      <c r="D60" s="43" t="s">
        <v>66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4" t="s">
        <v>52</v>
      </c>
    </row>
    <row r="61" spans="1:18" ht="0.75" customHeight="1"/>
    <row r="62" spans="1:18" ht="2.1" customHeight="1">
      <c r="A62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T60"/>
  <sheetViews>
    <sheetView showGridLines="0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2.140625" style="20" customWidth="1"/>
    <col min="6" max="6" width="10.7109375" style="20" customWidth="1"/>
    <col min="7" max="7" width="2.140625" style="20" customWidth="1"/>
    <col min="8" max="8" width="7.5703125" style="20" customWidth="1"/>
    <col min="9" max="9" width="2.140625" style="20" customWidth="1"/>
    <col min="10" max="10" width="6.42578125" style="20" customWidth="1"/>
    <col min="11" max="11" width="2.140625" style="20" customWidth="1"/>
    <col min="12" max="12" width="11.42578125" style="20" customWidth="1"/>
    <col min="13" max="13" width="2.140625" style="20" customWidth="1"/>
    <col min="14" max="14" width="8.28515625" style="20" customWidth="1"/>
    <col min="15" max="15" width="2.140625" style="20" customWidth="1"/>
    <col min="16" max="16" width="1.85546875" style="20" customWidth="1"/>
    <col min="17" max="17" width="2.28515625" style="20" customWidth="1"/>
    <col min="18" max="19" width="11.42578125" style="20" customWidth="1"/>
    <col min="20" max="21" width="0.42578125" style="20" customWidth="1"/>
    <col min="22" max="22" width="1" style="20"/>
    <col min="23" max="256" width="13.28515625" style="20" customWidth="1"/>
    <col min="257" max="16384" width="1" style="20"/>
  </cols>
  <sheetData>
    <row r="1" spans="4:20" ht="2.1" customHeight="1">
      <c r="T1" s="20" t="s">
        <v>47</v>
      </c>
    </row>
    <row r="2" spans="4:20" ht="3.75" customHeight="1"/>
    <row r="3" spans="4:20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4:20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4:20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4:20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20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4:20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24"/>
    </row>
    <row r="9" spans="4:20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4:20" ht="17.25" customHeight="1">
      <c r="D10" s="25" t="s">
        <v>92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6"/>
    </row>
    <row r="11" spans="4:20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spans="4:20" ht="1.1499999999999999" customHeight="1">
      <c r="F12" s="65" t="s">
        <v>52</v>
      </c>
      <c r="G12" s="65"/>
    </row>
    <row r="13" spans="4:20" ht="12.75" customHeight="1">
      <c r="D13" s="46"/>
      <c r="E13" s="46"/>
      <c r="F13" s="66" t="s">
        <v>52</v>
      </c>
      <c r="G13" s="6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</row>
    <row r="14" spans="4:20" ht="23.25" customHeight="1">
      <c r="D14" s="46" t="s">
        <v>93</v>
      </c>
      <c r="E14" s="46"/>
      <c r="F14" s="66" t="s">
        <v>94</v>
      </c>
      <c r="G14" s="66"/>
      <c r="H14" s="46" t="s">
        <v>70</v>
      </c>
      <c r="I14" s="46"/>
      <c r="J14" s="46" t="s">
        <v>95</v>
      </c>
      <c r="K14" s="46"/>
      <c r="L14" s="46" t="s">
        <v>96</v>
      </c>
      <c r="M14" s="46"/>
      <c r="N14" s="46" t="s">
        <v>97</v>
      </c>
      <c r="O14" s="46"/>
      <c r="P14" s="46" t="s">
        <v>52</v>
      </c>
      <c r="Q14" s="46"/>
      <c r="R14" s="46" t="s">
        <v>98</v>
      </c>
    </row>
    <row r="15" spans="4:20" ht="1.1499999999999999" customHeight="1">
      <c r="D15" s="47"/>
      <c r="E15" s="47"/>
      <c r="F15" s="67" t="s">
        <v>52</v>
      </c>
      <c r="G15" s="6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4:20" ht="0.95" customHeight="1">
      <c r="D16" s="48"/>
      <c r="E16" s="49"/>
      <c r="F16" s="68" t="s">
        <v>52</v>
      </c>
      <c r="G16" s="68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8"/>
    </row>
    <row r="17" spans="4:18" ht="10.9" customHeight="1">
      <c r="D17" s="50">
        <v>42036</v>
      </c>
      <c r="E17" s="51"/>
      <c r="F17" s="68" t="s">
        <v>99</v>
      </c>
      <c r="G17" s="68"/>
      <c r="H17" s="53">
        <v>0.75</v>
      </c>
      <c r="I17" s="53"/>
      <c r="J17" s="53">
        <v>0.74993821132469995</v>
      </c>
      <c r="K17" s="53"/>
      <c r="L17" s="52">
        <v>90000</v>
      </c>
      <c r="M17" s="52"/>
      <c r="N17" s="53">
        <v>100</v>
      </c>
      <c r="O17" s="53"/>
      <c r="P17" s="69">
        <v>0</v>
      </c>
      <c r="Q17" s="69"/>
      <c r="R17" s="54">
        <v>90000</v>
      </c>
    </row>
    <row r="18" spans="4:18" ht="10.9" customHeight="1">
      <c r="D18" s="50">
        <v>42401</v>
      </c>
      <c r="E18" s="51"/>
      <c r="F18" s="68" t="s">
        <v>99</v>
      </c>
      <c r="G18" s="68"/>
      <c r="H18" s="53">
        <v>1</v>
      </c>
      <c r="I18" s="53"/>
      <c r="J18" s="53">
        <v>0.99991928280859999</v>
      </c>
      <c r="K18" s="53"/>
      <c r="L18" s="52">
        <v>95000</v>
      </c>
      <c r="M18" s="52"/>
      <c r="N18" s="53">
        <v>100</v>
      </c>
      <c r="O18" s="53"/>
      <c r="P18" s="69">
        <v>0</v>
      </c>
      <c r="Q18" s="69"/>
      <c r="R18" s="54">
        <v>95000</v>
      </c>
    </row>
    <row r="19" spans="4:18" ht="10.9" customHeight="1">
      <c r="D19" s="50">
        <v>42767</v>
      </c>
      <c r="E19" s="51"/>
      <c r="F19" s="68" t="s">
        <v>99</v>
      </c>
      <c r="G19" s="68"/>
      <c r="H19" s="53">
        <v>1.25</v>
      </c>
      <c r="I19" s="53"/>
      <c r="J19" s="53">
        <v>1.2498997179602001</v>
      </c>
      <c r="K19" s="53"/>
      <c r="L19" s="52">
        <v>95000</v>
      </c>
      <c r="M19" s="52"/>
      <c r="N19" s="53">
        <v>100</v>
      </c>
      <c r="O19" s="53"/>
      <c r="P19" s="69">
        <v>0</v>
      </c>
      <c r="Q19" s="69"/>
      <c r="R19" s="54">
        <v>95000</v>
      </c>
    </row>
    <row r="20" spans="4:18" ht="10.9" customHeight="1">
      <c r="D20" s="50">
        <v>43132</v>
      </c>
      <c r="E20" s="51"/>
      <c r="F20" s="68" t="s">
        <v>99</v>
      </c>
      <c r="G20" s="68"/>
      <c r="H20" s="53">
        <v>1.5</v>
      </c>
      <c r="I20" s="53"/>
      <c r="J20" s="53">
        <v>1.4998794109555</v>
      </c>
      <c r="K20" s="53"/>
      <c r="L20" s="52">
        <v>95000</v>
      </c>
      <c r="M20" s="52"/>
      <c r="N20" s="53">
        <v>100</v>
      </c>
      <c r="O20" s="53"/>
      <c r="P20" s="69">
        <v>0</v>
      </c>
      <c r="Q20" s="69"/>
      <c r="R20" s="54">
        <v>95000</v>
      </c>
    </row>
    <row r="21" spans="4:18" ht="10.9" customHeight="1">
      <c r="D21" s="50">
        <v>43497</v>
      </c>
      <c r="E21" s="50"/>
      <c r="F21" s="70" t="s">
        <v>99</v>
      </c>
      <c r="G21" s="70"/>
      <c r="H21" s="55">
        <v>1.7</v>
      </c>
      <c r="I21" s="55"/>
      <c r="J21" s="55">
        <v>1.6998664302494</v>
      </c>
      <c r="K21" s="55"/>
      <c r="L21" s="54">
        <v>95000</v>
      </c>
      <c r="M21" s="54"/>
      <c r="N21" s="55">
        <v>100</v>
      </c>
      <c r="O21" s="55"/>
      <c r="P21" s="71">
        <v>0</v>
      </c>
      <c r="Q21" s="71"/>
      <c r="R21" s="54">
        <v>95000</v>
      </c>
    </row>
    <row r="22" spans="4:18" ht="10.9" customHeight="1">
      <c r="D22" s="50">
        <v>43862</v>
      </c>
      <c r="E22" s="51"/>
      <c r="F22" s="68" t="s">
        <v>99</v>
      </c>
      <c r="G22" s="68"/>
      <c r="H22" s="53">
        <v>1.9</v>
      </c>
      <c r="I22" s="53"/>
      <c r="J22" s="53">
        <v>1.8998525528964001</v>
      </c>
      <c r="K22" s="53"/>
      <c r="L22" s="52">
        <v>100000</v>
      </c>
      <c r="M22" s="52"/>
      <c r="N22" s="53">
        <v>100</v>
      </c>
      <c r="O22" s="53"/>
      <c r="P22" s="69">
        <v>0</v>
      </c>
      <c r="Q22" s="69"/>
      <c r="R22" s="54">
        <v>100000</v>
      </c>
    </row>
    <row r="23" spans="4:18" ht="10.9" customHeight="1">
      <c r="D23" s="50">
        <v>44228</v>
      </c>
      <c r="E23" s="51"/>
      <c r="F23" s="68" t="s">
        <v>99</v>
      </c>
      <c r="G23" s="68"/>
      <c r="H23" s="53">
        <v>2.0499999999999998</v>
      </c>
      <c r="I23" s="53"/>
      <c r="J23" s="53">
        <v>2.0498457395509</v>
      </c>
      <c r="K23" s="53"/>
      <c r="L23" s="52">
        <v>100000</v>
      </c>
      <c r="M23" s="52"/>
      <c r="N23" s="53">
        <v>100</v>
      </c>
      <c r="O23" s="53"/>
      <c r="P23" s="69">
        <v>0</v>
      </c>
      <c r="Q23" s="69"/>
      <c r="R23" s="54">
        <v>100000</v>
      </c>
    </row>
    <row r="24" spans="4:18" ht="10.9" customHeight="1">
      <c r="D24" s="50">
        <v>44593</v>
      </c>
      <c r="E24" s="51"/>
      <c r="F24" s="68" t="s">
        <v>99</v>
      </c>
      <c r="G24" s="68"/>
      <c r="H24" s="53">
        <v>2.2000000000000002</v>
      </c>
      <c r="I24" s="53"/>
      <c r="J24" s="53">
        <v>2.1998212209379</v>
      </c>
      <c r="K24" s="53"/>
      <c r="L24" s="52">
        <v>100000</v>
      </c>
      <c r="M24" s="52"/>
      <c r="N24" s="53">
        <v>100</v>
      </c>
      <c r="O24" s="53"/>
      <c r="P24" s="69">
        <v>1</v>
      </c>
      <c r="Q24" s="69"/>
      <c r="R24" s="54">
        <v>100000</v>
      </c>
    </row>
    <row r="25" spans="4:18" ht="10.9" customHeight="1">
      <c r="D25" s="50">
        <v>44958</v>
      </c>
      <c r="E25" s="51"/>
      <c r="F25" s="68" t="s">
        <v>99</v>
      </c>
      <c r="G25" s="68"/>
      <c r="H25" s="53">
        <v>2.4</v>
      </c>
      <c r="I25" s="53"/>
      <c r="J25" s="53">
        <v>2.3997854572942998</v>
      </c>
      <c r="K25" s="53"/>
      <c r="L25" s="52">
        <v>105000</v>
      </c>
      <c r="M25" s="52"/>
      <c r="N25" s="53">
        <v>100</v>
      </c>
      <c r="O25" s="53"/>
      <c r="P25" s="69">
        <v>1</v>
      </c>
      <c r="Q25" s="69"/>
      <c r="R25" s="54">
        <v>105000</v>
      </c>
    </row>
    <row r="26" spans="4:18" ht="10.9" customHeight="1">
      <c r="D26" s="50">
        <v>45323</v>
      </c>
      <c r="E26" s="50"/>
      <c r="F26" s="70" t="s">
        <v>99</v>
      </c>
      <c r="G26" s="70"/>
      <c r="H26" s="55">
        <v>2.5</v>
      </c>
      <c r="I26" s="55"/>
      <c r="J26" s="55">
        <v>2.4997662369351001</v>
      </c>
      <c r="K26" s="55"/>
      <c r="L26" s="54">
        <v>105000</v>
      </c>
      <c r="M26" s="54"/>
      <c r="N26" s="55">
        <v>100</v>
      </c>
      <c r="O26" s="55"/>
      <c r="P26" s="71">
        <v>1</v>
      </c>
      <c r="Q26" s="71"/>
      <c r="R26" s="54">
        <v>105000</v>
      </c>
    </row>
    <row r="27" spans="4:18" ht="10.9" customHeight="1">
      <c r="D27" s="50">
        <v>45689</v>
      </c>
      <c r="E27" s="51"/>
      <c r="F27" s="68" t="s">
        <v>99</v>
      </c>
      <c r="G27" s="68"/>
      <c r="H27" s="53">
        <v>2.625</v>
      </c>
      <c r="I27" s="53"/>
      <c r="J27" s="53">
        <v>2.6247409371070001</v>
      </c>
      <c r="K27" s="53"/>
      <c r="L27" s="52">
        <v>110000</v>
      </c>
      <c r="M27" s="52"/>
      <c r="N27" s="53">
        <v>100</v>
      </c>
      <c r="O27" s="53"/>
      <c r="P27" s="69">
        <v>1</v>
      </c>
      <c r="Q27" s="69"/>
      <c r="R27" s="54">
        <v>110000</v>
      </c>
    </row>
    <row r="28" spans="4:18" ht="10.9" customHeight="1">
      <c r="D28" s="50">
        <v>46054</v>
      </c>
      <c r="E28" s="51"/>
      <c r="F28" s="68" t="s">
        <v>99</v>
      </c>
      <c r="G28" s="68"/>
      <c r="H28" s="53">
        <v>2.75</v>
      </c>
      <c r="I28" s="53"/>
      <c r="J28" s="53">
        <v>2.749714203361</v>
      </c>
      <c r="K28" s="53"/>
      <c r="L28" s="52">
        <v>115000</v>
      </c>
      <c r="M28" s="52"/>
      <c r="N28" s="53">
        <v>100</v>
      </c>
      <c r="O28" s="53"/>
      <c r="P28" s="69">
        <v>1</v>
      </c>
      <c r="Q28" s="69"/>
      <c r="R28" s="54">
        <v>115000</v>
      </c>
    </row>
    <row r="29" spans="4:18" ht="10.9" customHeight="1">
      <c r="D29" s="50">
        <v>46419</v>
      </c>
      <c r="E29" s="51"/>
      <c r="F29" s="68" t="s">
        <v>99</v>
      </c>
      <c r="G29" s="68"/>
      <c r="H29" s="53">
        <v>2.875</v>
      </c>
      <c r="I29" s="53"/>
      <c r="J29" s="53">
        <v>2.8746860163851999</v>
      </c>
      <c r="K29" s="53"/>
      <c r="L29" s="52">
        <v>115000</v>
      </c>
      <c r="M29" s="52"/>
      <c r="N29" s="53">
        <v>100</v>
      </c>
      <c r="O29" s="53"/>
      <c r="P29" s="69">
        <v>1</v>
      </c>
      <c r="Q29" s="69"/>
      <c r="R29" s="54">
        <v>115000</v>
      </c>
    </row>
    <row r="30" spans="4:18" ht="10.9" customHeight="1">
      <c r="D30" s="50">
        <v>46784</v>
      </c>
      <c r="E30" s="51"/>
      <c r="F30" s="68" t="s">
        <v>99</v>
      </c>
      <c r="G30" s="68"/>
      <c r="H30" s="53">
        <v>3</v>
      </c>
      <c r="I30" s="53"/>
      <c r="J30" s="53">
        <v>2.9996563567735999</v>
      </c>
      <c r="K30" s="53"/>
      <c r="L30" s="52">
        <v>120000</v>
      </c>
      <c r="M30" s="52"/>
      <c r="N30" s="53">
        <v>100</v>
      </c>
      <c r="O30" s="53"/>
      <c r="P30" s="69">
        <v>1</v>
      </c>
      <c r="Q30" s="69"/>
      <c r="R30" s="54">
        <v>120000</v>
      </c>
    </row>
    <row r="31" spans="4:18" ht="10.9" customHeight="1">
      <c r="D31" s="50">
        <v>47150</v>
      </c>
      <c r="E31" s="50"/>
      <c r="F31" s="70" t="s">
        <v>99</v>
      </c>
      <c r="G31" s="70"/>
      <c r="H31" s="55">
        <v>3.1</v>
      </c>
      <c r="I31" s="55"/>
      <c r="J31" s="55">
        <v>3.0996315556862002</v>
      </c>
      <c r="K31" s="55"/>
      <c r="L31" s="54">
        <v>125000</v>
      </c>
      <c r="M31" s="54"/>
      <c r="N31" s="55">
        <v>100</v>
      </c>
      <c r="O31" s="55"/>
      <c r="P31" s="71">
        <v>1</v>
      </c>
      <c r="Q31" s="71"/>
      <c r="R31" s="54">
        <v>125000</v>
      </c>
    </row>
    <row r="32" spans="4:18" ht="1.1499999999999999" customHeight="1"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8"/>
    </row>
    <row r="33" spans="4:18" ht="1.1499999999999999" customHeight="1"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</row>
    <row r="34" spans="4:18" ht="12.75" customHeight="1">
      <c r="D34" s="56">
        <v>0</v>
      </c>
      <c r="E34" s="56"/>
      <c r="F34" s="58">
        <v>0</v>
      </c>
      <c r="G34" s="58"/>
      <c r="H34" s="58">
        <v>0</v>
      </c>
      <c r="I34" s="58"/>
      <c r="J34" s="58">
        <v>0</v>
      </c>
      <c r="K34" s="58"/>
      <c r="L34" s="57">
        <v>1565000</v>
      </c>
      <c r="M34" s="57"/>
      <c r="N34" s="58">
        <v>0</v>
      </c>
      <c r="O34" s="58"/>
      <c r="P34" s="58">
        <v>0</v>
      </c>
      <c r="Q34" s="58"/>
      <c r="R34" s="57">
        <v>1565000</v>
      </c>
    </row>
    <row r="35" spans="4:18" ht="1.1499999999999999" customHeight="1"/>
    <row r="36" spans="4:18" ht="10.9" customHeight="1"/>
    <row r="37" spans="4:18" ht="10.9" customHeight="1">
      <c r="D37" s="30" t="s">
        <v>100</v>
      </c>
      <c r="E37" s="30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31" t="s">
        <v>52</v>
      </c>
    </row>
    <row r="38" spans="4:18" ht="10.9" customHeight="1">
      <c r="D38" s="60" t="s">
        <v>47</v>
      </c>
      <c r="E38" s="60"/>
      <c r="R38" s="61" t="s">
        <v>52</v>
      </c>
    </row>
    <row r="39" spans="4:18" ht="10.9" customHeight="1">
      <c r="D39" s="32" t="s">
        <v>56</v>
      </c>
      <c r="E39" s="32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33">
        <v>1565000</v>
      </c>
    </row>
    <row r="40" spans="4:18" ht="10.9" customHeight="1">
      <c r="D40" s="32" t="s">
        <v>101</v>
      </c>
      <c r="E40" s="32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33">
        <v>1565000</v>
      </c>
    </row>
    <row r="41" spans="4:18" ht="10.9" customHeight="1">
      <c r="D41" s="34" t="s">
        <v>47</v>
      </c>
      <c r="E41" s="60"/>
      <c r="R41" s="35" t="s">
        <v>52</v>
      </c>
    </row>
    <row r="42" spans="4:18" ht="10.9" customHeight="1">
      <c r="D42" s="32" t="s">
        <v>62</v>
      </c>
      <c r="E42" s="32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33">
        <v>-15650</v>
      </c>
    </row>
    <row r="43" spans="4:18" ht="10.9" customHeight="1">
      <c r="D43" s="32" t="s">
        <v>102</v>
      </c>
      <c r="E43" s="32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39">
        <v>1549350</v>
      </c>
    </row>
    <row r="44" spans="4:18" ht="10.9" customHeight="1">
      <c r="D44" s="34" t="s">
        <v>47</v>
      </c>
      <c r="E44" s="60"/>
      <c r="R44" s="35" t="s">
        <v>52</v>
      </c>
    </row>
    <row r="45" spans="4:18" ht="10.9" customHeight="1">
      <c r="D45" s="32" t="s">
        <v>103</v>
      </c>
      <c r="E45" s="32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33">
        <v>1549350</v>
      </c>
    </row>
    <row r="46" spans="4:18" ht="10.9" customHeight="1">
      <c r="D46" s="34" t="s">
        <v>47</v>
      </c>
      <c r="E46" s="60"/>
      <c r="R46" s="35" t="s">
        <v>52</v>
      </c>
    </row>
    <row r="47" spans="4:18" ht="10.9" customHeight="1">
      <c r="D47" s="32" t="s">
        <v>79</v>
      </c>
      <c r="E47" s="32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33">
        <v>15793.7638888889</v>
      </c>
    </row>
    <row r="48" spans="4:18" ht="10.9" customHeight="1">
      <c r="D48" s="32" t="s">
        <v>80</v>
      </c>
      <c r="E48" s="32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63">
        <v>10.091861909833201</v>
      </c>
    </row>
    <row r="49" spans="1:18" ht="10.9" customHeight="1">
      <c r="D49" s="32" t="s">
        <v>81</v>
      </c>
      <c r="E49" s="32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64">
        <v>2.4737823279406199</v>
      </c>
    </row>
    <row r="50" spans="1:18" ht="10.9" customHeight="1">
      <c r="D50" s="34" t="s">
        <v>47</v>
      </c>
      <c r="E50" s="60"/>
      <c r="R50" s="35" t="s">
        <v>52</v>
      </c>
    </row>
    <row r="51" spans="1:18" ht="10.9" customHeight="1">
      <c r="D51" s="32" t="s">
        <v>82</v>
      </c>
      <c r="E51" s="32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64">
        <v>2.5728720706397001</v>
      </c>
    </row>
    <row r="52" spans="1:18" ht="10.9" customHeight="1">
      <c r="D52" s="32" t="s">
        <v>83</v>
      </c>
      <c r="E52" s="32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64">
        <v>2.5619332097206802</v>
      </c>
    </row>
    <row r="53" spans="1:18" ht="31.9" customHeight="1"/>
    <row r="54" spans="1:18" ht="174" customHeight="1"/>
    <row r="55" spans="1:18" ht="12.75" customHeight="1">
      <c r="D55" s="40" t="s">
        <v>65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1:18" ht="9.4" customHeight="1">
      <c r="D56" s="41" t="s">
        <v>66</v>
      </c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</row>
    <row r="57" spans="1:18" ht="13.7" customHeight="1">
      <c r="D57" s="42" t="s">
        <v>66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</row>
    <row r="58" spans="1:18" ht="9.1999999999999993" customHeight="1">
      <c r="D58" s="43" t="s">
        <v>66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4" t="s">
        <v>52</v>
      </c>
    </row>
    <row r="59" spans="1:18" ht="0.75" customHeight="1"/>
    <row r="60" spans="1:18" ht="2.1" customHeight="1">
      <c r="A60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68"/>
  <sheetViews>
    <sheetView showGridLines="0" tabSelected="1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7.28515625" style="20" customWidth="1"/>
    <col min="6" max="6" width="11.42578125" style="20" customWidth="1"/>
    <col min="7" max="7" width="7.28515625" style="20" customWidth="1"/>
    <col min="8" max="8" width="9.5703125" style="20" customWidth="1"/>
    <col min="9" max="9" width="7.28515625" style="20" customWidth="1"/>
    <col min="10" max="10" width="11.42578125" style="20" customWidth="1"/>
    <col min="11" max="11" width="7.28515625" style="20" customWidth="1"/>
    <col min="12" max="13" width="11.42578125" style="20" customWidth="1"/>
    <col min="14" max="15" width="0.42578125" style="20" customWidth="1"/>
    <col min="16" max="16" width="1" style="20"/>
    <col min="17" max="256" width="13.28515625" style="20" customWidth="1"/>
    <col min="257" max="16384" width="1" style="20"/>
  </cols>
  <sheetData>
    <row r="1" spans="4:14" ht="2.1" customHeight="1">
      <c r="N1" s="20" t="s">
        <v>47</v>
      </c>
    </row>
    <row r="2" spans="4:14" ht="3.75" customHeight="1"/>
    <row r="3" spans="4:14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</row>
    <row r="4" spans="4:14" ht="3.2" customHeight="1">
      <c r="D4" s="21"/>
      <c r="E4" s="21"/>
      <c r="F4" s="21"/>
      <c r="G4" s="21"/>
      <c r="H4" s="21"/>
      <c r="I4" s="21"/>
      <c r="J4" s="21"/>
      <c r="K4" s="21"/>
      <c r="L4" s="21"/>
    </row>
    <row r="5" spans="4:14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</row>
    <row r="6" spans="4:14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</row>
    <row r="7" spans="4:14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</row>
    <row r="8" spans="4:14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24"/>
    </row>
    <row r="9" spans="4:14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</row>
    <row r="10" spans="4:14" ht="17.25" customHeight="1">
      <c r="D10" s="25" t="s">
        <v>104</v>
      </c>
      <c r="E10" s="25"/>
      <c r="F10" s="25"/>
      <c r="G10" s="25"/>
      <c r="H10" s="25"/>
      <c r="I10" s="25"/>
      <c r="J10" s="25"/>
      <c r="K10" s="25"/>
      <c r="L10" s="26"/>
    </row>
    <row r="11" spans="4:14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</row>
    <row r="12" spans="4:14" ht="1.1499999999999999" customHeight="1"/>
    <row r="13" spans="4:14" ht="12.75" customHeight="1">
      <c r="D13" s="46"/>
      <c r="E13" s="46"/>
      <c r="F13" s="46"/>
      <c r="G13" s="46"/>
      <c r="H13" s="46"/>
      <c r="I13" s="46"/>
      <c r="J13" s="46"/>
      <c r="K13" s="46"/>
      <c r="L13" s="46"/>
    </row>
    <row r="14" spans="4:14" ht="23.25" customHeight="1">
      <c r="D14" s="46" t="s">
        <v>68</v>
      </c>
      <c r="E14" s="46"/>
      <c r="F14" s="46" t="s">
        <v>105</v>
      </c>
      <c r="G14" s="46"/>
      <c r="H14" s="46" t="s">
        <v>106</v>
      </c>
      <c r="I14" s="46"/>
      <c r="J14" s="46" t="s">
        <v>107</v>
      </c>
      <c r="K14" s="46"/>
      <c r="L14" s="46" t="s">
        <v>108</v>
      </c>
    </row>
    <row r="15" spans="4:14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</row>
    <row r="16" spans="4:14" ht="0.95" customHeight="1">
      <c r="D16" s="48"/>
      <c r="E16" s="49"/>
      <c r="F16" s="49"/>
      <c r="G16" s="49"/>
      <c r="H16" s="49"/>
      <c r="I16" s="49"/>
      <c r="J16" s="49"/>
      <c r="K16" s="49"/>
      <c r="L16" s="48"/>
    </row>
    <row r="17" spans="4:12" ht="10.9" customHeight="1">
      <c r="D17" s="50">
        <v>41053</v>
      </c>
      <c r="E17" s="51"/>
      <c r="F17" s="52">
        <v>0</v>
      </c>
      <c r="G17" s="52"/>
      <c r="H17" s="72">
        <v>1</v>
      </c>
      <c r="I17" s="72"/>
      <c r="J17" s="52">
        <v>0</v>
      </c>
      <c r="K17" s="52"/>
      <c r="L17" s="54">
        <v>0</v>
      </c>
    </row>
    <row r="18" spans="4:12" ht="10.9" customHeight="1">
      <c r="D18" s="50">
        <v>41306</v>
      </c>
      <c r="E18" s="51"/>
      <c r="F18" s="52">
        <v>23313.200000000001</v>
      </c>
      <c r="G18" s="52"/>
      <c r="H18" s="72">
        <v>0.98344712226810005</v>
      </c>
      <c r="I18" s="72"/>
      <c r="J18" s="52">
        <v>22927.299450861639</v>
      </c>
      <c r="K18" s="52"/>
      <c r="L18" s="54">
        <v>22927.299450861639</v>
      </c>
    </row>
    <row r="19" spans="4:12" ht="10.9" customHeight="1">
      <c r="D19" s="50">
        <v>41487</v>
      </c>
      <c r="E19" s="51"/>
      <c r="F19" s="52">
        <v>16989.38</v>
      </c>
      <c r="G19" s="52"/>
      <c r="H19" s="72">
        <v>0.97155714920229996</v>
      </c>
      <c r="I19" s="72"/>
      <c r="J19" s="52">
        <v>16506.153599514309</v>
      </c>
      <c r="K19" s="52"/>
      <c r="L19" s="54">
        <v>39433.453050375952</v>
      </c>
    </row>
    <row r="20" spans="4:12" ht="10.9" customHeight="1">
      <c r="D20" s="50">
        <v>41671</v>
      </c>
      <c r="E20" s="51"/>
      <c r="F20" s="52">
        <v>16989.38</v>
      </c>
      <c r="G20" s="52"/>
      <c r="H20" s="72">
        <v>0.95981092708789995</v>
      </c>
      <c r="I20" s="72"/>
      <c r="J20" s="52">
        <v>16306.592568447901</v>
      </c>
      <c r="K20" s="52"/>
      <c r="L20" s="54">
        <v>55740.045618823853</v>
      </c>
    </row>
    <row r="21" spans="4:12" ht="10.9" customHeight="1">
      <c r="D21" s="50">
        <v>41852</v>
      </c>
      <c r="E21" s="50"/>
      <c r="F21" s="54">
        <v>16989.38</v>
      </c>
      <c r="G21" s="54"/>
      <c r="H21" s="73">
        <v>0.94820671796160005</v>
      </c>
      <c r="I21" s="73"/>
      <c r="J21" s="54">
        <v>16109.44425000288</v>
      </c>
      <c r="K21" s="54"/>
      <c r="L21" s="54">
        <v>71849.489868826728</v>
      </c>
    </row>
    <row r="22" spans="4:12" ht="10.9" customHeight="1">
      <c r="D22" s="50">
        <v>42036</v>
      </c>
      <c r="E22" s="51"/>
      <c r="F22" s="52">
        <v>106989.38</v>
      </c>
      <c r="G22" s="52"/>
      <c r="H22" s="72">
        <v>0.93674280487249995</v>
      </c>
      <c r="I22" s="72"/>
      <c r="J22" s="52">
        <v>100221.5319127702</v>
      </c>
      <c r="K22" s="52"/>
      <c r="L22" s="54">
        <v>172071.02178159691</v>
      </c>
    </row>
    <row r="23" spans="4:12" ht="10.9" customHeight="1">
      <c r="D23" s="50">
        <v>42217</v>
      </c>
      <c r="E23" s="51"/>
      <c r="F23" s="52">
        <v>16651.88</v>
      </c>
      <c r="G23" s="52"/>
      <c r="H23" s="72">
        <v>0.92541749162749998</v>
      </c>
      <c r="I23" s="72"/>
      <c r="J23" s="52">
        <v>15409.94102048238</v>
      </c>
      <c r="K23" s="52"/>
      <c r="L23" s="54">
        <v>187480.9628020793</v>
      </c>
    </row>
    <row r="24" spans="4:12" ht="10.9" customHeight="1">
      <c r="D24" s="50">
        <v>42401</v>
      </c>
      <c r="E24" s="51"/>
      <c r="F24" s="52">
        <v>111651.88</v>
      </c>
      <c r="G24" s="52"/>
      <c r="H24" s="72">
        <v>0.91422910254080003</v>
      </c>
      <c r="I24" s="72"/>
      <c r="J24" s="52">
        <v>102075.3980493955</v>
      </c>
      <c r="K24" s="52"/>
      <c r="L24" s="54">
        <v>289556.3608514748</v>
      </c>
    </row>
    <row r="25" spans="4:12" ht="10.9" customHeight="1">
      <c r="D25" s="50">
        <v>42583</v>
      </c>
      <c r="E25" s="51"/>
      <c r="F25" s="52">
        <v>16176.88</v>
      </c>
      <c r="G25" s="52"/>
      <c r="H25" s="72">
        <v>0.90317598218579997</v>
      </c>
      <c r="I25" s="72"/>
      <c r="J25" s="52">
        <v>14610.56948270176</v>
      </c>
      <c r="K25" s="52"/>
      <c r="L25" s="54">
        <v>304166.93033417658</v>
      </c>
    </row>
    <row r="26" spans="4:12" ht="10.9" customHeight="1">
      <c r="D26" s="50">
        <v>42767</v>
      </c>
      <c r="E26" s="50"/>
      <c r="F26" s="54">
        <v>111176.88</v>
      </c>
      <c r="G26" s="54"/>
      <c r="H26" s="73">
        <v>0.89225649515009997</v>
      </c>
      <c r="I26" s="73"/>
      <c r="J26" s="54">
        <v>99198.293290521193</v>
      </c>
      <c r="K26" s="54"/>
      <c r="L26" s="54">
        <v>403365.22362469783</v>
      </c>
    </row>
    <row r="27" spans="4:12" ht="10.9" customHeight="1">
      <c r="D27" s="50">
        <v>42948</v>
      </c>
      <c r="E27" s="51"/>
      <c r="F27" s="52">
        <v>15583.13</v>
      </c>
      <c r="G27" s="52"/>
      <c r="H27" s="72">
        <v>0.88146902579359998</v>
      </c>
      <c r="I27" s="72"/>
      <c r="J27" s="52">
        <v>13736.046419915279</v>
      </c>
      <c r="K27" s="52"/>
      <c r="L27" s="54">
        <v>417101.27004461299</v>
      </c>
    </row>
    <row r="28" spans="4:12" ht="10.9" customHeight="1">
      <c r="D28" s="50">
        <v>43132</v>
      </c>
      <c r="E28" s="51"/>
      <c r="F28" s="52">
        <v>110583.13</v>
      </c>
      <c r="G28" s="52"/>
      <c r="H28" s="72">
        <v>0.87081197800959997</v>
      </c>
      <c r="I28" s="72"/>
      <c r="J28" s="52">
        <v>96297.114169791806</v>
      </c>
      <c r="K28" s="52"/>
      <c r="L28" s="54">
        <v>513398.38421440491</v>
      </c>
    </row>
    <row r="29" spans="4:12" ht="10.9" customHeight="1">
      <c r="D29" s="50">
        <v>43313</v>
      </c>
      <c r="E29" s="51"/>
      <c r="F29" s="52">
        <v>14870.63</v>
      </c>
      <c r="G29" s="52"/>
      <c r="H29" s="72">
        <v>0.8602837749883</v>
      </c>
      <c r="I29" s="72"/>
      <c r="J29" s="52">
        <v>12792.961712854019</v>
      </c>
      <c r="K29" s="52"/>
      <c r="L29" s="54">
        <v>526191.34592725884</v>
      </c>
    </row>
    <row r="30" spans="4:12" ht="10.9" customHeight="1">
      <c r="D30" s="50">
        <v>43497</v>
      </c>
      <c r="E30" s="51"/>
      <c r="F30" s="52">
        <v>109870.63</v>
      </c>
      <c r="G30" s="52"/>
      <c r="H30" s="72">
        <v>0.8498828589838</v>
      </c>
      <c r="I30" s="72"/>
      <c r="J30" s="52">
        <v>93377.165142746497</v>
      </c>
      <c r="K30" s="52"/>
      <c r="L30" s="54">
        <v>619568.51107000536</v>
      </c>
    </row>
    <row r="31" spans="4:12" ht="10.9" customHeight="1">
      <c r="D31" s="50">
        <v>43678</v>
      </c>
      <c r="E31" s="50"/>
      <c r="F31" s="54">
        <v>14063.13</v>
      </c>
      <c r="G31" s="54"/>
      <c r="H31" s="73">
        <v>0.83960769108340005</v>
      </c>
      <c r="I31" s="73"/>
      <c r="J31" s="54">
        <v>11807.512108705379</v>
      </c>
      <c r="K31" s="54"/>
      <c r="L31" s="54">
        <v>631376.02317871072</v>
      </c>
    </row>
    <row r="32" spans="4:12" ht="10.9" customHeight="1">
      <c r="D32" s="50">
        <v>43862</v>
      </c>
      <c r="E32" s="51"/>
      <c r="F32" s="52">
        <v>114063.13</v>
      </c>
      <c r="G32" s="52"/>
      <c r="H32" s="72">
        <v>0.82945675098009997</v>
      </c>
      <c r="I32" s="72"/>
      <c r="J32" s="52">
        <v>94610.433216422694</v>
      </c>
      <c r="K32" s="52"/>
      <c r="L32" s="54">
        <v>725986.45639513398</v>
      </c>
    </row>
    <row r="33" spans="4:12" ht="10.9" customHeight="1">
      <c r="D33" s="50">
        <v>44044</v>
      </c>
      <c r="E33" s="51"/>
      <c r="F33" s="52">
        <v>13113.13</v>
      </c>
      <c r="G33" s="52"/>
      <c r="H33" s="72">
        <v>0.81942853674759997</v>
      </c>
      <c r="I33" s="72"/>
      <c r="J33" s="52">
        <v>10745.27292808118</v>
      </c>
      <c r="K33" s="52"/>
      <c r="L33" s="54">
        <v>736731.72932321404</v>
      </c>
    </row>
    <row r="34" spans="4:12" ht="10.9" customHeight="1">
      <c r="D34" s="50">
        <v>44228</v>
      </c>
      <c r="E34" s="51"/>
      <c r="F34" s="52">
        <v>113113.13</v>
      </c>
      <c r="G34" s="52"/>
      <c r="H34" s="72">
        <v>0.80952156461790004</v>
      </c>
      <c r="I34" s="72"/>
      <c r="J34" s="52">
        <v>91567.517976431307</v>
      </c>
      <c r="K34" s="52"/>
      <c r="L34" s="54">
        <v>828299.24729964603</v>
      </c>
    </row>
    <row r="35" spans="4:12" ht="10.9" customHeight="1">
      <c r="D35" s="50">
        <v>44409</v>
      </c>
      <c r="E35" s="51"/>
      <c r="F35" s="52">
        <v>12088.13</v>
      </c>
      <c r="G35" s="52"/>
      <c r="H35" s="72">
        <v>0.79973436876210002</v>
      </c>
      <c r="I35" s="72"/>
      <c r="J35" s="52">
        <v>9667.2930150636294</v>
      </c>
      <c r="K35" s="52"/>
      <c r="L35" s="54">
        <v>837966.54031471</v>
      </c>
    </row>
    <row r="36" spans="4:12" ht="10.9" customHeight="1">
      <c r="D36" s="50">
        <v>44593</v>
      </c>
      <c r="E36" s="50"/>
      <c r="F36" s="54">
        <v>112088.13</v>
      </c>
      <c r="G36" s="54"/>
      <c r="H36" s="73">
        <v>0.790065501073</v>
      </c>
      <c r="I36" s="73"/>
      <c r="J36" s="54">
        <v>88556.964592781995</v>
      </c>
      <c r="K36" s="54"/>
      <c r="L36" s="54">
        <v>926523.50490749197</v>
      </c>
    </row>
    <row r="37" spans="4:12" ht="10.9" customHeight="1">
      <c r="D37" s="50">
        <v>44774</v>
      </c>
      <c r="E37" s="51"/>
      <c r="F37" s="52">
        <v>10988.13</v>
      </c>
      <c r="G37" s="52"/>
      <c r="H37" s="72">
        <v>0.78051353095139997</v>
      </c>
      <c r="I37" s="72"/>
      <c r="J37" s="52">
        <v>8576.3841448533094</v>
      </c>
      <c r="K37" s="52"/>
      <c r="L37" s="54">
        <v>935099.88905234495</v>
      </c>
    </row>
    <row r="38" spans="4:12" ht="10.9" customHeight="1">
      <c r="D38" s="50">
        <v>44958</v>
      </c>
      <c r="E38" s="51"/>
      <c r="F38" s="52">
        <v>115988.13</v>
      </c>
      <c r="G38" s="52"/>
      <c r="H38" s="72">
        <v>0.77107704509429997</v>
      </c>
      <c r="I38" s="72"/>
      <c r="J38" s="52">
        <v>89435.784546409559</v>
      </c>
      <c r="K38" s="52"/>
      <c r="L38" s="54">
        <v>1024535.673598754</v>
      </c>
    </row>
    <row r="39" spans="4:12" ht="10.9" customHeight="1">
      <c r="D39" s="50">
        <v>45139</v>
      </c>
      <c r="E39" s="51"/>
      <c r="F39" s="52">
        <v>9728.1299999999992</v>
      </c>
      <c r="G39" s="52"/>
      <c r="H39" s="72">
        <v>0.76175464728529996</v>
      </c>
      <c r="I39" s="72"/>
      <c r="J39" s="52">
        <v>7410.4482368954896</v>
      </c>
      <c r="K39" s="52"/>
      <c r="L39" s="54">
        <v>1031946.1218356499</v>
      </c>
    </row>
    <row r="40" spans="4:12" ht="10.9" customHeight="1">
      <c r="D40" s="50">
        <v>45323</v>
      </c>
      <c r="E40" s="51"/>
      <c r="F40" s="52">
        <v>114728.13</v>
      </c>
      <c r="G40" s="52"/>
      <c r="H40" s="72">
        <v>0.75254495818870004</v>
      </c>
      <c r="I40" s="72"/>
      <c r="J40" s="52">
        <v>86338.075793919648</v>
      </c>
      <c r="K40" s="52"/>
      <c r="L40" s="54">
        <v>1118284.19762957</v>
      </c>
    </row>
    <row r="41" spans="4:12" ht="10.9" customHeight="1">
      <c r="D41" s="50">
        <v>45505</v>
      </c>
      <c r="E41" s="50"/>
      <c r="F41" s="54">
        <v>8415.630000000001</v>
      </c>
      <c r="G41" s="54"/>
      <c r="H41" s="73">
        <v>0.74344661514499999</v>
      </c>
      <c r="I41" s="73"/>
      <c r="J41" s="54">
        <v>6256.5716378130674</v>
      </c>
      <c r="K41" s="54"/>
      <c r="L41" s="54">
        <v>1124540.769267383</v>
      </c>
    </row>
    <row r="42" spans="4:12" ht="10.9" customHeight="1">
      <c r="D42" s="50">
        <v>45689</v>
      </c>
      <c r="E42" s="51"/>
      <c r="F42" s="52">
        <v>118415.63</v>
      </c>
      <c r="G42" s="52"/>
      <c r="H42" s="72">
        <v>0.73445827196949998</v>
      </c>
      <c r="I42" s="72"/>
      <c r="J42" s="52">
        <v>86971.338983975773</v>
      </c>
      <c r="K42" s="52"/>
      <c r="L42" s="54">
        <v>1211512.1082513579</v>
      </c>
    </row>
    <row r="43" spans="4:12" ht="10.9" customHeight="1">
      <c r="D43" s="50">
        <v>45870</v>
      </c>
      <c r="E43" s="51"/>
      <c r="F43" s="52">
        <v>6971.88</v>
      </c>
      <c r="G43" s="52"/>
      <c r="H43" s="72">
        <v>0.72557859875270003</v>
      </c>
      <c r="I43" s="72"/>
      <c r="J43" s="52">
        <v>5058.6469210719597</v>
      </c>
      <c r="K43" s="52"/>
      <c r="L43" s="54">
        <v>1216570.7551724301</v>
      </c>
    </row>
    <row r="44" spans="4:12" ht="10.9" customHeight="1">
      <c r="D44" s="50">
        <v>46054</v>
      </c>
      <c r="E44" s="51"/>
      <c r="F44" s="52">
        <v>121971.88</v>
      </c>
      <c r="G44" s="52"/>
      <c r="H44" s="72">
        <v>0.71680628166420002</v>
      </c>
      <c r="I44" s="72"/>
      <c r="J44" s="52">
        <v>87430.209770388887</v>
      </c>
      <c r="K44" s="52"/>
      <c r="L44" s="54">
        <v>1304000.964942819</v>
      </c>
    </row>
    <row r="45" spans="4:12" ht="10.9" customHeight="1">
      <c r="D45" s="50">
        <v>46235</v>
      </c>
      <c r="E45" s="51"/>
      <c r="F45" s="52">
        <v>5390.63</v>
      </c>
      <c r="G45" s="52"/>
      <c r="H45" s="72">
        <v>0.70814002275770005</v>
      </c>
      <c r="I45" s="72"/>
      <c r="J45" s="52">
        <v>3817.3208508782241</v>
      </c>
      <c r="K45" s="52"/>
      <c r="L45" s="54">
        <v>1307818.2857936979</v>
      </c>
    </row>
    <row r="46" spans="4:12" ht="10.9" customHeight="1">
      <c r="D46" s="50">
        <v>46419</v>
      </c>
      <c r="E46" s="50"/>
      <c r="F46" s="54">
        <v>120390.63</v>
      </c>
      <c r="G46" s="54"/>
      <c r="H46" s="73">
        <v>0.69957853977929996</v>
      </c>
      <c r="I46" s="73"/>
      <c r="J46" s="54">
        <v>84222.701138508695</v>
      </c>
      <c r="K46" s="54"/>
      <c r="L46" s="54">
        <v>1392040.986932206</v>
      </c>
    </row>
    <row r="47" spans="4:12" ht="10.9" customHeight="1">
      <c r="D47" s="50">
        <v>46600</v>
      </c>
      <c r="E47" s="51"/>
      <c r="F47" s="52">
        <v>3737.5</v>
      </c>
      <c r="G47" s="52"/>
      <c r="H47" s="72">
        <v>0.6911205659777</v>
      </c>
      <c r="I47" s="72"/>
      <c r="J47" s="52">
        <v>2583.0631153415202</v>
      </c>
      <c r="K47" s="52"/>
      <c r="L47" s="54">
        <v>1394624.050047548</v>
      </c>
    </row>
    <row r="48" spans="4:12" ht="10.9" customHeight="1">
      <c r="D48" s="50">
        <v>46784</v>
      </c>
      <c r="E48" s="51"/>
      <c r="F48" s="52">
        <v>123737.5</v>
      </c>
      <c r="G48" s="52"/>
      <c r="H48" s="72">
        <v>0.68276484991660003</v>
      </c>
      <c r="I48" s="72"/>
      <c r="J48" s="52">
        <v>84483.615616556388</v>
      </c>
      <c r="K48" s="52"/>
      <c r="L48" s="54">
        <v>1479107.665664104</v>
      </c>
    </row>
    <row r="49" spans="4:12" ht="10.9" customHeight="1">
      <c r="D49" s="50">
        <v>46966</v>
      </c>
      <c r="E49" s="51"/>
      <c r="F49" s="52">
        <v>1937.5</v>
      </c>
      <c r="G49" s="52"/>
      <c r="H49" s="72">
        <v>0.67451015528989999</v>
      </c>
      <c r="I49" s="72"/>
      <c r="J49" s="52">
        <v>1306.863425874214</v>
      </c>
      <c r="K49" s="52"/>
      <c r="L49" s="54">
        <v>1480414.529089978</v>
      </c>
    </row>
    <row r="50" spans="4:12" ht="10.9" customHeight="1">
      <c r="D50" s="50">
        <v>47150</v>
      </c>
      <c r="E50" s="51"/>
      <c r="F50" s="52">
        <v>126937.5</v>
      </c>
      <c r="G50" s="52"/>
      <c r="H50" s="72">
        <v>0.66635526073840001</v>
      </c>
      <c r="I50" s="72"/>
      <c r="J50" s="52">
        <v>84585.47090998647</v>
      </c>
      <c r="K50" s="52"/>
      <c r="L50" s="54">
        <v>1564999.9999999651</v>
      </c>
    </row>
    <row r="51" spans="4:12" ht="1.1499999999999999" customHeight="1">
      <c r="D51" s="48"/>
      <c r="E51" s="49"/>
      <c r="F51" s="49"/>
      <c r="G51" s="49"/>
      <c r="H51" s="49"/>
      <c r="I51" s="49"/>
      <c r="J51" s="49"/>
      <c r="K51" s="49"/>
      <c r="L51" s="48"/>
    </row>
    <row r="52" spans="4:12" ht="1.1499999999999999" customHeight="1">
      <c r="D52" s="48"/>
      <c r="E52" s="48"/>
      <c r="F52" s="48"/>
      <c r="G52" s="48"/>
      <c r="H52" s="48"/>
      <c r="I52" s="48"/>
      <c r="J52" s="48"/>
      <c r="K52" s="48"/>
      <c r="L52" s="48"/>
    </row>
    <row r="53" spans="4:12" ht="12.75" customHeight="1">
      <c r="D53" s="56">
        <v>0</v>
      </c>
      <c r="E53" s="56"/>
      <c r="F53" s="57">
        <v>1955703.34</v>
      </c>
      <c r="G53" s="57"/>
      <c r="H53" s="58">
        <v>0</v>
      </c>
      <c r="I53" s="58"/>
      <c r="J53" s="57">
        <v>1565000</v>
      </c>
      <c r="K53" s="57"/>
      <c r="L53" s="58">
        <v>0</v>
      </c>
    </row>
    <row r="54" spans="4:12" ht="1.1499999999999999" customHeight="1"/>
    <row r="55" spans="4:12" ht="10.9" customHeight="1"/>
    <row r="56" spans="4:12" ht="10.9" customHeight="1">
      <c r="D56" s="30" t="s">
        <v>109</v>
      </c>
      <c r="E56" s="30"/>
      <c r="F56" s="59"/>
      <c r="G56" s="59"/>
      <c r="H56" s="59"/>
      <c r="I56" s="59"/>
      <c r="J56" s="59"/>
      <c r="K56" s="59"/>
      <c r="L56" s="31" t="s">
        <v>52</v>
      </c>
    </row>
    <row r="57" spans="4:12" ht="10.9" customHeight="1">
      <c r="D57" s="60" t="s">
        <v>47</v>
      </c>
      <c r="E57" s="60"/>
      <c r="L57" s="61" t="s">
        <v>52</v>
      </c>
    </row>
    <row r="58" spans="4:12" ht="10.9" customHeight="1">
      <c r="D58" s="32" t="s">
        <v>56</v>
      </c>
      <c r="E58" s="32"/>
      <c r="F58" s="48"/>
      <c r="G58" s="48"/>
      <c r="H58" s="48"/>
      <c r="I58" s="48"/>
      <c r="J58" s="48"/>
      <c r="K58" s="48"/>
      <c r="L58" s="33">
        <v>1565000</v>
      </c>
    </row>
    <row r="59" spans="4:12" ht="10.9" customHeight="1">
      <c r="D59" s="34" t="s">
        <v>47</v>
      </c>
      <c r="E59" s="60"/>
      <c r="L59" s="35" t="s">
        <v>52</v>
      </c>
    </row>
    <row r="60" spans="4:12" ht="10.9" customHeight="1">
      <c r="D60" s="32" t="s">
        <v>110</v>
      </c>
      <c r="E60" s="32"/>
      <c r="F60" s="48"/>
      <c r="G60" s="48"/>
      <c r="H60" s="48"/>
      <c r="I60" s="48"/>
      <c r="J60" s="48"/>
      <c r="K60" s="48"/>
      <c r="L60" s="33">
        <v>1565000</v>
      </c>
    </row>
    <row r="61" spans="4:12" ht="31.9" customHeight="1"/>
    <row r="62" spans="4:12" ht="87.2" customHeight="1"/>
    <row r="63" spans="4:12" ht="12.75" customHeight="1">
      <c r="D63" s="40" t="s">
        <v>65</v>
      </c>
      <c r="E63" s="40"/>
      <c r="F63" s="40"/>
      <c r="G63" s="40"/>
      <c r="H63" s="40"/>
      <c r="I63" s="40"/>
      <c r="J63" s="40"/>
      <c r="K63" s="40"/>
      <c r="L63" s="40"/>
    </row>
    <row r="64" spans="4:12" ht="9.4" customHeight="1">
      <c r="D64" s="41" t="s">
        <v>66</v>
      </c>
      <c r="E64" s="41"/>
      <c r="F64" s="41"/>
      <c r="G64" s="41"/>
      <c r="H64" s="41"/>
      <c r="I64" s="41"/>
      <c r="J64" s="41"/>
      <c r="K64" s="41"/>
      <c r="L64" s="41"/>
    </row>
    <row r="65" spans="1:12" ht="13.7" customHeight="1">
      <c r="D65" s="42" t="s">
        <v>66</v>
      </c>
      <c r="E65" s="42"/>
      <c r="F65" s="42"/>
      <c r="G65" s="42"/>
      <c r="H65" s="42"/>
      <c r="I65" s="42"/>
      <c r="J65" s="42"/>
      <c r="K65" s="42"/>
      <c r="L65" s="42"/>
    </row>
    <row r="66" spans="1:12" ht="9.1999999999999993" customHeight="1">
      <c r="D66" s="43" t="s">
        <v>66</v>
      </c>
      <c r="E66" s="43"/>
      <c r="F66" s="43"/>
      <c r="G66" s="43"/>
      <c r="H66" s="43"/>
      <c r="I66" s="43"/>
      <c r="J66" s="43"/>
      <c r="K66" s="43"/>
      <c r="L66" s="44" t="s">
        <v>52</v>
      </c>
    </row>
    <row r="67" spans="1:12" ht="0.75" customHeight="1"/>
    <row r="68" spans="1:12" ht="2.1" customHeight="1">
      <c r="A68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56"/>
  <sheetViews>
    <sheetView showGridLines="0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4" style="20" customWidth="1"/>
    <col min="6" max="6" width="11.42578125" style="20" customWidth="1"/>
    <col min="7" max="7" width="4" style="20" customWidth="1"/>
    <col min="8" max="8" width="8.28515625" style="20" customWidth="1"/>
    <col min="9" max="9" width="4" style="20" customWidth="1"/>
    <col min="10" max="10" width="11.42578125" style="20" customWidth="1"/>
    <col min="11" max="11" width="4" style="20" customWidth="1"/>
    <col min="12" max="12" width="10.42578125" style="20" customWidth="1"/>
    <col min="13" max="13" width="4" style="20" customWidth="1"/>
    <col min="14" max="14" width="11.7109375" style="20" customWidth="1"/>
    <col min="15" max="15" width="11.42578125" style="20" customWidth="1"/>
    <col min="16" max="17" width="0.42578125" style="20" customWidth="1"/>
    <col min="18" max="18" width="1" style="20"/>
    <col min="19" max="256" width="13.28515625" style="20" customWidth="1"/>
    <col min="257" max="16384" width="1" style="20"/>
  </cols>
  <sheetData>
    <row r="1" spans="4:16" ht="2.1" customHeight="1">
      <c r="P1" s="20" t="s">
        <v>47</v>
      </c>
    </row>
    <row r="2" spans="4:16" ht="3.75" customHeight="1"/>
    <row r="3" spans="4:16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4:16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</row>
    <row r="5" spans="4:16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4:16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</row>
    <row r="7" spans="4:16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</row>
    <row r="8" spans="4:16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24"/>
    </row>
    <row r="9" spans="4:16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</row>
    <row r="10" spans="4:16" ht="17.25" customHeight="1">
      <c r="D10" s="25" t="s">
        <v>111</v>
      </c>
      <c r="E10" s="25"/>
      <c r="F10" s="25"/>
      <c r="G10" s="25"/>
      <c r="H10" s="25"/>
      <c r="I10" s="25"/>
      <c r="J10" s="25"/>
      <c r="K10" s="25"/>
      <c r="L10" s="25"/>
      <c r="M10" s="25"/>
      <c r="N10" s="26"/>
    </row>
    <row r="11" spans="4:16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4:16" ht="1.1499999999999999" customHeight="1"/>
    <row r="13" spans="4:16" ht="12.75" customHeight="1"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</row>
    <row r="14" spans="4:16" ht="23.25" customHeight="1">
      <c r="D14" s="46" t="s">
        <v>93</v>
      </c>
      <c r="E14" s="46"/>
      <c r="F14" s="46" t="s">
        <v>112</v>
      </c>
      <c r="G14" s="46"/>
      <c r="H14" s="46" t="s">
        <v>97</v>
      </c>
      <c r="I14" s="46"/>
      <c r="J14" s="46" t="s">
        <v>113</v>
      </c>
      <c r="K14" s="46"/>
      <c r="L14" s="46" t="s">
        <v>114</v>
      </c>
      <c r="M14" s="46"/>
      <c r="N14" s="46" t="s">
        <v>115</v>
      </c>
    </row>
    <row r="15" spans="4:16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4:16" ht="0.95" customHeigh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8"/>
    </row>
    <row r="17" spans="4:14" ht="10.9" customHeight="1">
      <c r="D17" s="50">
        <v>41053</v>
      </c>
      <c r="E17" s="51"/>
      <c r="F17" s="52">
        <v>0</v>
      </c>
      <c r="G17" s="52"/>
      <c r="H17" s="53">
        <v>0</v>
      </c>
      <c r="I17" s="53"/>
      <c r="J17" s="52">
        <v>0</v>
      </c>
      <c r="K17" s="52"/>
      <c r="L17" s="72">
        <v>0</v>
      </c>
      <c r="M17" s="72"/>
      <c r="N17" s="54">
        <v>0</v>
      </c>
    </row>
    <row r="18" spans="4:14" ht="10.9" customHeight="1">
      <c r="D18" s="50">
        <v>42036</v>
      </c>
      <c r="E18" s="51"/>
      <c r="F18" s="52">
        <v>90000</v>
      </c>
      <c r="G18" s="52"/>
      <c r="H18" s="53">
        <v>100</v>
      </c>
      <c r="I18" s="53"/>
      <c r="J18" s="52">
        <v>90000</v>
      </c>
      <c r="K18" s="52"/>
      <c r="L18" s="72">
        <v>2.6861111111110998</v>
      </c>
      <c r="M18" s="72"/>
      <c r="N18" s="54">
        <v>241750</v>
      </c>
    </row>
    <row r="19" spans="4:14" ht="10.9" customHeight="1">
      <c r="D19" s="50">
        <v>42401</v>
      </c>
      <c r="E19" s="51"/>
      <c r="F19" s="52">
        <v>95000</v>
      </c>
      <c r="G19" s="52"/>
      <c r="H19" s="53">
        <v>100</v>
      </c>
      <c r="I19" s="53"/>
      <c r="J19" s="52">
        <v>95000</v>
      </c>
      <c r="K19" s="52"/>
      <c r="L19" s="72">
        <v>3.6861111111110998</v>
      </c>
      <c r="M19" s="72"/>
      <c r="N19" s="54">
        <v>350180.55555555562</v>
      </c>
    </row>
    <row r="20" spans="4:14" ht="10.9" customHeight="1">
      <c r="D20" s="50">
        <v>42767</v>
      </c>
      <c r="E20" s="51"/>
      <c r="F20" s="52">
        <v>95000</v>
      </c>
      <c r="G20" s="52"/>
      <c r="H20" s="53">
        <v>100</v>
      </c>
      <c r="I20" s="53"/>
      <c r="J20" s="52">
        <v>95000</v>
      </c>
      <c r="K20" s="52"/>
      <c r="L20" s="72">
        <v>4.6861111111111002</v>
      </c>
      <c r="M20" s="72"/>
      <c r="N20" s="54">
        <v>445180.55555555562</v>
      </c>
    </row>
    <row r="21" spans="4:14" ht="10.9" customHeight="1">
      <c r="D21" s="50">
        <v>43132</v>
      </c>
      <c r="E21" s="50"/>
      <c r="F21" s="54">
        <v>95000</v>
      </c>
      <c r="G21" s="54"/>
      <c r="H21" s="55">
        <v>100</v>
      </c>
      <c r="I21" s="55"/>
      <c r="J21" s="54">
        <v>95000</v>
      </c>
      <c r="K21" s="54"/>
      <c r="L21" s="73">
        <v>5.6861111111111002</v>
      </c>
      <c r="M21" s="73"/>
      <c r="N21" s="54">
        <v>540180.5555555555</v>
      </c>
    </row>
    <row r="22" spans="4:14" ht="10.9" customHeight="1">
      <c r="D22" s="50">
        <v>43497</v>
      </c>
      <c r="E22" s="51"/>
      <c r="F22" s="52">
        <v>95000</v>
      </c>
      <c r="G22" s="52"/>
      <c r="H22" s="53">
        <v>100</v>
      </c>
      <c r="I22" s="53"/>
      <c r="J22" s="52">
        <v>95000</v>
      </c>
      <c r="K22" s="52"/>
      <c r="L22" s="72">
        <v>6.6861111111111002</v>
      </c>
      <c r="M22" s="72"/>
      <c r="N22" s="54">
        <v>635180.5555555555</v>
      </c>
    </row>
    <row r="23" spans="4:14" ht="10.9" customHeight="1">
      <c r="D23" s="50">
        <v>43862</v>
      </c>
      <c r="E23" s="51"/>
      <c r="F23" s="52">
        <v>100000</v>
      </c>
      <c r="G23" s="52"/>
      <c r="H23" s="53">
        <v>100</v>
      </c>
      <c r="I23" s="53"/>
      <c r="J23" s="52">
        <v>100000</v>
      </c>
      <c r="K23" s="52"/>
      <c r="L23" s="72">
        <v>7.6861111111111002</v>
      </c>
      <c r="M23" s="72"/>
      <c r="N23" s="54">
        <v>768611.11111111101</v>
      </c>
    </row>
    <row r="24" spans="4:14" ht="10.9" customHeight="1">
      <c r="D24" s="50">
        <v>44228</v>
      </c>
      <c r="E24" s="51"/>
      <c r="F24" s="52">
        <v>100000</v>
      </c>
      <c r="G24" s="52"/>
      <c r="H24" s="53">
        <v>100</v>
      </c>
      <c r="I24" s="53"/>
      <c r="J24" s="52">
        <v>100000</v>
      </c>
      <c r="K24" s="52"/>
      <c r="L24" s="72">
        <v>8.6861111111110993</v>
      </c>
      <c r="M24" s="72"/>
      <c r="N24" s="54">
        <v>868611.11111111101</v>
      </c>
    </row>
    <row r="25" spans="4:14" ht="10.9" customHeight="1">
      <c r="D25" s="50">
        <v>44593</v>
      </c>
      <c r="E25" s="51"/>
      <c r="F25" s="52">
        <v>100000</v>
      </c>
      <c r="G25" s="52"/>
      <c r="H25" s="53">
        <v>100</v>
      </c>
      <c r="I25" s="53"/>
      <c r="J25" s="52">
        <v>100000</v>
      </c>
      <c r="K25" s="52"/>
      <c r="L25" s="72">
        <v>9.6861111111110993</v>
      </c>
      <c r="M25" s="72"/>
      <c r="N25" s="54">
        <v>968611.11111111101</v>
      </c>
    </row>
    <row r="26" spans="4:14" ht="10.9" customHeight="1">
      <c r="D26" s="50">
        <v>44958</v>
      </c>
      <c r="E26" s="50"/>
      <c r="F26" s="54">
        <v>105000</v>
      </c>
      <c r="G26" s="54"/>
      <c r="H26" s="55">
        <v>100</v>
      </c>
      <c r="I26" s="55"/>
      <c r="J26" s="54">
        <v>105000</v>
      </c>
      <c r="K26" s="54"/>
      <c r="L26" s="73">
        <v>10.686111111111099</v>
      </c>
      <c r="M26" s="73"/>
      <c r="N26" s="54">
        <v>1122041.666666667</v>
      </c>
    </row>
    <row r="27" spans="4:14" ht="10.9" customHeight="1">
      <c r="D27" s="50">
        <v>45323</v>
      </c>
      <c r="E27" s="51"/>
      <c r="F27" s="52">
        <v>105000</v>
      </c>
      <c r="G27" s="52"/>
      <c r="H27" s="53">
        <v>100</v>
      </c>
      <c r="I27" s="53"/>
      <c r="J27" s="52">
        <v>105000</v>
      </c>
      <c r="K27" s="52"/>
      <c r="L27" s="72">
        <v>11.686111111111099</v>
      </c>
      <c r="M27" s="72"/>
      <c r="N27" s="54">
        <v>1227041.666666667</v>
      </c>
    </row>
    <row r="28" spans="4:14" ht="10.9" customHeight="1">
      <c r="D28" s="50">
        <v>45689</v>
      </c>
      <c r="E28" s="51"/>
      <c r="F28" s="52">
        <v>110000</v>
      </c>
      <c r="G28" s="52"/>
      <c r="H28" s="53">
        <v>100</v>
      </c>
      <c r="I28" s="53"/>
      <c r="J28" s="52">
        <v>110000</v>
      </c>
      <c r="K28" s="52"/>
      <c r="L28" s="72">
        <v>12.686111111111099</v>
      </c>
      <c r="M28" s="72"/>
      <c r="N28" s="54">
        <v>1395472.222222222</v>
      </c>
    </row>
    <row r="29" spans="4:14" ht="10.9" customHeight="1">
      <c r="D29" s="50">
        <v>46054</v>
      </c>
      <c r="E29" s="51"/>
      <c r="F29" s="52">
        <v>115000</v>
      </c>
      <c r="G29" s="52"/>
      <c r="H29" s="53">
        <v>100</v>
      </c>
      <c r="I29" s="53"/>
      <c r="J29" s="52">
        <v>115000</v>
      </c>
      <c r="K29" s="52"/>
      <c r="L29" s="72">
        <v>13.686111111111099</v>
      </c>
      <c r="M29" s="72"/>
      <c r="N29" s="54">
        <v>1573902.777777778</v>
      </c>
    </row>
    <row r="30" spans="4:14" ht="10.9" customHeight="1">
      <c r="D30" s="50">
        <v>46419</v>
      </c>
      <c r="E30" s="51"/>
      <c r="F30" s="52">
        <v>115000</v>
      </c>
      <c r="G30" s="52"/>
      <c r="H30" s="53">
        <v>100</v>
      </c>
      <c r="I30" s="53"/>
      <c r="J30" s="52">
        <v>115000</v>
      </c>
      <c r="K30" s="52"/>
      <c r="L30" s="72">
        <v>14.686111111111099</v>
      </c>
      <c r="M30" s="72"/>
      <c r="N30" s="54">
        <v>1688902.777777778</v>
      </c>
    </row>
    <row r="31" spans="4:14" ht="10.9" customHeight="1">
      <c r="D31" s="50">
        <v>46784</v>
      </c>
      <c r="E31" s="50"/>
      <c r="F31" s="54">
        <v>120000</v>
      </c>
      <c r="G31" s="54"/>
      <c r="H31" s="55">
        <v>100</v>
      </c>
      <c r="I31" s="55"/>
      <c r="J31" s="54">
        <v>120000</v>
      </c>
      <c r="K31" s="54"/>
      <c r="L31" s="73">
        <v>15.686111111111099</v>
      </c>
      <c r="M31" s="73"/>
      <c r="N31" s="54">
        <v>1882333.333333334</v>
      </c>
    </row>
    <row r="32" spans="4:14" ht="10.9" customHeight="1">
      <c r="D32" s="50">
        <v>47150</v>
      </c>
      <c r="E32" s="51"/>
      <c r="F32" s="52">
        <v>125000</v>
      </c>
      <c r="G32" s="52"/>
      <c r="H32" s="53">
        <v>100</v>
      </c>
      <c r="I32" s="53"/>
      <c r="J32" s="52">
        <v>125000</v>
      </c>
      <c r="K32" s="52"/>
      <c r="L32" s="72">
        <v>16.686111111111099</v>
      </c>
      <c r="M32" s="72"/>
      <c r="N32" s="54">
        <v>2085763.888888889</v>
      </c>
    </row>
    <row r="33" spans="4:14" ht="1.1499999999999999" customHeight="1">
      <c r="D33" s="48"/>
      <c r="E33" s="49"/>
      <c r="F33" s="49"/>
      <c r="G33" s="49"/>
      <c r="H33" s="49"/>
      <c r="I33" s="49"/>
      <c r="J33" s="49"/>
      <c r="K33" s="49"/>
      <c r="L33" s="49"/>
      <c r="M33" s="49"/>
      <c r="N33" s="48"/>
    </row>
    <row r="34" spans="4:14" ht="1.1499999999999999" customHeight="1"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4:14" ht="12.75" customHeight="1">
      <c r="D35" s="56">
        <v>0</v>
      </c>
      <c r="E35" s="56"/>
      <c r="F35" s="57">
        <v>1565000</v>
      </c>
      <c r="G35" s="57"/>
      <c r="H35" s="58">
        <v>0</v>
      </c>
      <c r="I35" s="58"/>
      <c r="J35" s="57">
        <v>1565000</v>
      </c>
      <c r="K35" s="57"/>
      <c r="L35" s="58">
        <v>0</v>
      </c>
      <c r="M35" s="58"/>
      <c r="N35" s="57">
        <v>15793763.890000001</v>
      </c>
    </row>
    <row r="36" spans="4:14" ht="1.1499999999999999" customHeight="1"/>
    <row r="37" spans="4:14" ht="10.9" customHeight="1"/>
    <row r="38" spans="4:14" ht="10.9" customHeight="1">
      <c r="D38" s="30" t="s">
        <v>86</v>
      </c>
      <c r="E38" s="30"/>
      <c r="F38" s="59"/>
      <c r="G38" s="59"/>
      <c r="H38" s="59"/>
      <c r="I38" s="59"/>
      <c r="J38" s="59"/>
      <c r="K38" s="59"/>
      <c r="L38" s="59"/>
      <c r="M38" s="59"/>
      <c r="N38" s="31" t="s">
        <v>52</v>
      </c>
    </row>
    <row r="39" spans="4:14" ht="10.9" customHeight="1">
      <c r="D39" s="60" t="s">
        <v>47</v>
      </c>
      <c r="E39" s="60"/>
      <c r="N39" s="61" t="s">
        <v>52</v>
      </c>
    </row>
    <row r="40" spans="4:14" ht="10.9" customHeight="1">
      <c r="D40" s="32" t="s">
        <v>116</v>
      </c>
      <c r="E40" s="32"/>
      <c r="F40" s="48"/>
      <c r="G40" s="48"/>
      <c r="H40" s="48"/>
      <c r="I40" s="48"/>
      <c r="J40" s="48"/>
      <c r="K40" s="48"/>
      <c r="L40" s="48"/>
      <c r="M40" s="48"/>
      <c r="N40" s="63">
        <v>10.091861909833201</v>
      </c>
    </row>
    <row r="41" spans="4:14" ht="10.9" customHeight="1">
      <c r="D41" s="34" t="s">
        <v>47</v>
      </c>
      <c r="E41" s="60"/>
      <c r="N41" s="35" t="s">
        <v>52</v>
      </c>
    </row>
    <row r="42" spans="4:14" ht="10.9" customHeight="1">
      <c r="D42" s="32" t="s">
        <v>117</v>
      </c>
      <c r="E42" s="32"/>
      <c r="F42" s="48"/>
      <c r="G42" s="48"/>
      <c r="H42" s="48"/>
      <c r="I42" s="48"/>
      <c r="J42" s="48"/>
      <c r="K42" s="48"/>
      <c r="L42" s="48"/>
      <c r="M42" s="48"/>
      <c r="N42" s="39">
        <v>390703.34</v>
      </c>
    </row>
    <row r="43" spans="4:14" ht="10.9" customHeight="1">
      <c r="D43" s="34" t="s">
        <v>47</v>
      </c>
      <c r="E43" s="60"/>
      <c r="N43" s="35" t="s">
        <v>52</v>
      </c>
    </row>
    <row r="44" spans="4:14" ht="10.9" customHeight="1">
      <c r="D44" s="32" t="s">
        <v>118</v>
      </c>
      <c r="E44" s="32"/>
      <c r="F44" s="48"/>
      <c r="G44" s="48"/>
      <c r="H44" s="48"/>
      <c r="I44" s="48"/>
      <c r="J44" s="48"/>
      <c r="K44" s="48"/>
      <c r="L44" s="48"/>
      <c r="M44" s="48"/>
      <c r="N44" s="39">
        <v>390703.34</v>
      </c>
    </row>
    <row r="45" spans="4:14" ht="10.9" customHeight="1">
      <c r="D45" s="34" t="s">
        <v>47</v>
      </c>
      <c r="E45" s="60"/>
      <c r="N45" s="35" t="s">
        <v>52</v>
      </c>
    </row>
    <row r="46" spans="4:14" ht="10.9" customHeight="1">
      <c r="D46" s="32" t="s">
        <v>119</v>
      </c>
      <c r="E46" s="32"/>
      <c r="F46" s="48"/>
      <c r="G46" s="48"/>
      <c r="H46" s="48"/>
      <c r="I46" s="48"/>
      <c r="J46" s="48"/>
      <c r="K46" s="48"/>
      <c r="L46" s="48"/>
      <c r="M46" s="48"/>
      <c r="N46" s="64">
        <v>2.4737823279406199</v>
      </c>
    </row>
    <row r="47" spans="4:14" ht="10.9" customHeight="1">
      <c r="D47" s="34" t="s">
        <v>47</v>
      </c>
      <c r="E47" s="60"/>
      <c r="N47" s="35" t="s">
        <v>52</v>
      </c>
    </row>
    <row r="48" spans="4:14" ht="10.9" customHeight="1">
      <c r="D48" s="32" t="s">
        <v>84</v>
      </c>
      <c r="E48" s="32"/>
      <c r="F48" s="48"/>
      <c r="G48" s="48"/>
      <c r="H48" s="48"/>
      <c r="I48" s="48"/>
      <c r="J48" s="48"/>
      <c r="K48" s="48"/>
      <c r="L48" s="48"/>
      <c r="M48" s="48"/>
      <c r="N48" s="64">
        <v>2.4476116666157801</v>
      </c>
    </row>
    <row r="49" spans="1:14" ht="31.9" customHeight="1"/>
    <row r="50" spans="1:14" ht="217.35" customHeight="1"/>
    <row r="51" spans="1:14" ht="12.75" customHeight="1">
      <c r="D51" s="40" t="s">
        <v>65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</row>
    <row r="52" spans="1:14" ht="9.4" customHeight="1">
      <c r="D52" s="41" t="s">
        <v>66</v>
      </c>
      <c r="E52" s="41"/>
      <c r="F52" s="41"/>
      <c r="G52" s="41"/>
      <c r="H52" s="41"/>
      <c r="I52" s="41"/>
      <c r="J52" s="41"/>
      <c r="K52" s="41"/>
      <c r="L52" s="41"/>
      <c r="M52" s="41"/>
      <c r="N52" s="41"/>
    </row>
    <row r="53" spans="1:14" ht="13.7" customHeight="1">
      <c r="D53" s="42" t="s">
        <v>66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</row>
    <row r="54" spans="1:14" ht="9.1999999999999993" customHeight="1">
      <c r="D54" s="43" t="s">
        <v>66</v>
      </c>
      <c r="E54" s="43"/>
      <c r="F54" s="43"/>
      <c r="G54" s="43"/>
      <c r="H54" s="43"/>
      <c r="I54" s="43"/>
      <c r="J54" s="43"/>
      <c r="K54" s="43"/>
      <c r="L54" s="43"/>
      <c r="M54" s="43"/>
      <c r="N54" s="44" t="s">
        <v>52</v>
      </c>
    </row>
    <row r="55" spans="1:14" ht="0.75" customHeight="1"/>
    <row r="56" spans="1:14" ht="2.1" customHeight="1">
      <c r="A56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43"/>
  <sheetViews>
    <sheetView showGridLines="0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4" style="20" customWidth="1"/>
    <col min="6" max="6" width="11.42578125" style="20" customWidth="1"/>
    <col min="7" max="7" width="4" style="20" customWidth="1"/>
    <col min="8" max="8" width="5" style="20" customWidth="1"/>
    <col min="9" max="9" width="4" style="20" customWidth="1"/>
    <col min="10" max="10" width="11.42578125" style="20" customWidth="1"/>
    <col min="11" max="11" width="4" style="20" customWidth="1"/>
    <col min="12" max="12" width="14.140625" style="20" customWidth="1"/>
    <col min="13" max="13" width="4" style="20" customWidth="1"/>
    <col min="14" max="15" width="11.42578125" style="20" customWidth="1"/>
    <col min="16" max="17" width="0.42578125" style="20" customWidth="1"/>
    <col min="18" max="18" width="1" style="20"/>
    <col min="19" max="256" width="13.28515625" style="20" customWidth="1"/>
    <col min="257" max="16384" width="1" style="20"/>
  </cols>
  <sheetData>
    <row r="1" spans="4:16" ht="2.1" customHeight="1">
      <c r="P1" s="20" t="s">
        <v>47</v>
      </c>
    </row>
    <row r="2" spans="4:16" ht="3.75" customHeight="1"/>
    <row r="3" spans="4:16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4:16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</row>
    <row r="5" spans="4:16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4:16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</row>
    <row r="7" spans="4:16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</row>
    <row r="8" spans="4:16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24"/>
    </row>
    <row r="9" spans="4:16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</row>
    <row r="10" spans="4:16" ht="17.25" customHeight="1">
      <c r="D10" s="25" t="s">
        <v>120</v>
      </c>
      <c r="E10" s="25"/>
      <c r="F10" s="25"/>
      <c r="G10" s="25"/>
      <c r="H10" s="25"/>
      <c r="I10" s="25"/>
      <c r="J10" s="25"/>
      <c r="K10" s="25"/>
      <c r="L10" s="25"/>
      <c r="M10" s="25"/>
      <c r="N10" s="26"/>
    </row>
    <row r="11" spans="4:16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4:16" ht="1.1499999999999999" customHeight="1"/>
    <row r="13" spans="4:16" ht="12.75" customHeight="1"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</row>
    <row r="14" spans="4:16" ht="23.25" customHeight="1">
      <c r="D14" s="46" t="s">
        <v>68</v>
      </c>
      <c r="E14" s="46"/>
      <c r="F14" s="46" t="s">
        <v>69</v>
      </c>
      <c r="G14" s="46"/>
      <c r="H14" s="46" t="s">
        <v>121</v>
      </c>
      <c r="I14" s="46"/>
      <c r="J14" s="46" t="s">
        <v>122</v>
      </c>
      <c r="K14" s="46"/>
      <c r="L14" s="46" t="s">
        <v>123</v>
      </c>
      <c r="M14" s="46"/>
      <c r="N14" s="46" t="s">
        <v>124</v>
      </c>
    </row>
    <row r="15" spans="4:16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4:16" ht="0.95" customHeigh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8"/>
    </row>
    <row r="17" spans="4:14" ht="10.9" customHeight="1">
      <c r="D17" s="50">
        <v>41053</v>
      </c>
      <c r="E17" s="51"/>
      <c r="F17" s="52">
        <v>1502666</v>
      </c>
      <c r="G17" s="52"/>
      <c r="H17" s="74">
        <v>0</v>
      </c>
      <c r="I17" s="74"/>
      <c r="J17" s="52">
        <v>1502666</v>
      </c>
      <c r="K17" s="52"/>
      <c r="L17" s="52">
        <v>1502666</v>
      </c>
      <c r="M17" s="52"/>
      <c r="N17" s="54">
        <v>0</v>
      </c>
    </row>
    <row r="18" spans="4:14" ht="1.1499999999999999" customHeight="1"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8"/>
    </row>
    <row r="19" spans="4:14" ht="1.1499999999999999" customHeight="1"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4:14" ht="12.75" customHeight="1">
      <c r="D20" s="56">
        <v>0</v>
      </c>
      <c r="E20" s="56"/>
      <c r="F20" s="57">
        <v>1502666</v>
      </c>
      <c r="G20" s="57"/>
      <c r="H20" s="58">
        <v>0</v>
      </c>
      <c r="I20" s="58"/>
      <c r="J20" s="57">
        <v>1502666</v>
      </c>
      <c r="K20" s="57"/>
      <c r="L20" s="57">
        <v>1502666</v>
      </c>
      <c r="M20" s="57"/>
      <c r="N20" s="58">
        <v>0</v>
      </c>
    </row>
    <row r="21" spans="4:14" ht="1.1499999999999999" customHeight="1"/>
    <row r="22" spans="4:14" ht="10.9" customHeight="1"/>
    <row r="23" spans="4:14" ht="10.9" customHeight="1">
      <c r="D23" s="30" t="s">
        <v>125</v>
      </c>
      <c r="E23" s="30"/>
      <c r="F23" s="59"/>
      <c r="G23" s="59"/>
      <c r="H23" s="59"/>
      <c r="I23" s="59"/>
      <c r="J23" s="59"/>
      <c r="K23" s="59"/>
      <c r="L23" s="59"/>
      <c r="M23" s="59"/>
      <c r="N23" s="31" t="s">
        <v>52</v>
      </c>
    </row>
    <row r="24" spans="4:14" ht="10.9" customHeight="1">
      <c r="D24" s="60" t="s">
        <v>47</v>
      </c>
      <c r="E24" s="60"/>
      <c r="N24" s="61" t="s">
        <v>52</v>
      </c>
    </row>
    <row r="25" spans="4:14" ht="10.9" customHeight="1">
      <c r="D25" s="32" t="s">
        <v>126</v>
      </c>
      <c r="E25" s="32"/>
      <c r="F25" s="48"/>
      <c r="G25" s="48"/>
      <c r="H25" s="48"/>
      <c r="I25" s="48"/>
      <c r="J25" s="48"/>
      <c r="K25" s="48"/>
      <c r="L25" s="48"/>
      <c r="M25" s="48"/>
      <c r="N25" s="75">
        <v>1</v>
      </c>
    </row>
    <row r="26" spans="4:14" ht="10.9" customHeight="1">
      <c r="D26" s="32" t="s">
        <v>127</v>
      </c>
      <c r="E26" s="32"/>
      <c r="F26" s="48"/>
      <c r="G26" s="48"/>
      <c r="H26" s="48"/>
      <c r="I26" s="48"/>
      <c r="J26" s="48"/>
      <c r="K26" s="48"/>
      <c r="L26" s="48"/>
      <c r="M26" s="48"/>
      <c r="N26" s="76">
        <v>-1</v>
      </c>
    </row>
    <row r="27" spans="4:14" ht="10.9" customHeight="1">
      <c r="D27" s="34" t="s">
        <v>47</v>
      </c>
      <c r="E27" s="60"/>
      <c r="N27" s="35" t="s">
        <v>52</v>
      </c>
    </row>
    <row r="28" spans="4:14" ht="10.9" customHeight="1">
      <c r="D28" s="34" t="s">
        <v>47</v>
      </c>
      <c r="E28" s="60"/>
      <c r="N28" s="35" t="s">
        <v>52</v>
      </c>
    </row>
    <row r="29" spans="4:14" ht="10.9" customHeight="1">
      <c r="D29" s="32" t="s">
        <v>128</v>
      </c>
      <c r="E29" s="32"/>
      <c r="F29" s="48"/>
      <c r="G29" s="48"/>
      <c r="H29" s="48"/>
      <c r="I29" s="48"/>
      <c r="J29" s="48"/>
      <c r="K29" s="48"/>
      <c r="L29" s="48"/>
      <c r="M29" s="48"/>
      <c r="N29" s="39">
        <v>1502666</v>
      </c>
    </row>
    <row r="30" spans="4:14" ht="10.9" customHeight="1">
      <c r="D30" s="32" t="s">
        <v>129</v>
      </c>
      <c r="E30" s="32"/>
      <c r="F30" s="48"/>
      <c r="G30" s="48"/>
      <c r="H30" s="48"/>
      <c r="I30" s="48"/>
      <c r="J30" s="48"/>
      <c r="K30" s="48"/>
      <c r="L30" s="48"/>
      <c r="M30" s="48"/>
      <c r="N30" s="33">
        <v>1502666</v>
      </c>
    </row>
    <row r="31" spans="4:14" ht="10.9" customHeight="1">
      <c r="D31" s="34" t="s">
        <v>47</v>
      </c>
      <c r="E31" s="60"/>
      <c r="N31" s="35" t="s">
        <v>52</v>
      </c>
    </row>
    <row r="32" spans="4:14" ht="10.9" customHeight="1">
      <c r="D32" s="32" t="s">
        <v>130</v>
      </c>
      <c r="E32" s="32"/>
      <c r="F32" s="48"/>
      <c r="G32" s="48"/>
      <c r="H32" s="48"/>
      <c r="I32" s="48"/>
      <c r="J32" s="48"/>
      <c r="K32" s="48"/>
      <c r="L32" s="48"/>
      <c r="M32" s="48"/>
      <c r="N32" s="33">
        <v>1502666</v>
      </c>
    </row>
    <row r="33" spans="1:14" ht="10.9" customHeight="1">
      <c r="D33" s="34" t="s">
        <v>47</v>
      </c>
      <c r="E33" s="60"/>
      <c r="N33" s="35" t="s">
        <v>52</v>
      </c>
    </row>
    <row r="34" spans="1:14" ht="10.9" customHeight="1">
      <c r="D34" s="32" t="s">
        <v>131</v>
      </c>
      <c r="E34" s="32"/>
      <c r="F34" s="48"/>
      <c r="G34" s="48"/>
      <c r="H34" s="48"/>
      <c r="I34" s="48"/>
      <c r="J34" s="48"/>
      <c r="K34" s="48"/>
      <c r="L34" s="48"/>
      <c r="M34" s="48"/>
      <c r="N34" s="64">
        <v>0</v>
      </c>
    </row>
    <row r="35" spans="1:14" ht="10.9" customHeight="1">
      <c r="D35" s="32" t="s">
        <v>132</v>
      </c>
      <c r="E35" s="32"/>
      <c r="F35" s="48"/>
      <c r="G35" s="48"/>
      <c r="H35" s="48"/>
      <c r="I35" s="48"/>
      <c r="J35" s="48"/>
      <c r="K35" s="48"/>
      <c r="L35" s="48"/>
      <c r="M35" s="48"/>
      <c r="N35" s="64">
        <v>2.4476116666157801</v>
      </c>
    </row>
    <row r="36" spans="1:14" ht="31.9" customHeight="1"/>
    <row r="37" spans="1:14" ht="358.5" customHeight="1"/>
    <row r="38" spans="1:14" ht="12.75" customHeight="1">
      <c r="D38" s="40" t="s">
        <v>65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</row>
    <row r="39" spans="1:14" ht="9.4" customHeight="1">
      <c r="D39" s="41" t="s">
        <v>66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</row>
    <row r="40" spans="1:14" ht="13.7" customHeight="1">
      <c r="D40" s="42" t="s">
        <v>66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</row>
    <row r="41" spans="1:14" ht="9.1999999999999993" customHeight="1">
      <c r="D41" s="43" t="s">
        <v>66</v>
      </c>
      <c r="E41" s="43"/>
      <c r="F41" s="43"/>
      <c r="G41" s="43"/>
      <c r="H41" s="43"/>
      <c r="I41" s="43"/>
      <c r="J41" s="43"/>
      <c r="K41" s="43"/>
      <c r="L41" s="43"/>
      <c r="M41" s="43"/>
      <c r="N41" s="44" t="s">
        <v>52</v>
      </c>
    </row>
    <row r="42" spans="1:14" ht="0.75" customHeight="1"/>
    <row r="43" spans="1:14" ht="2.1" customHeight="1">
      <c r="A43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H30"/>
  <sheetViews>
    <sheetView showGridLines="0" workbookViewId="0"/>
  </sheetViews>
  <sheetFormatPr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26" style="20" customWidth="1"/>
    <col min="5" max="5" width="46.42578125" style="20" customWidth="1"/>
    <col min="6" max="6" width="9.140625" style="20"/>
    <col min="7" max="7" width="11.42578125" style="20" customWidth="1"/>
    <col min="8" max="9" width="0.42578125" style="20" customWidth="1"/>
    <col min="10" max="10" width="9.140625" style="20"/>
    <col min="11" max="256" width="13.28515625" style="20" customWidth="1"/>
    <col min="257" max="16384" width="9.140625" style="20"/>
  </cols>
  <sheetData>
    <row r="1" spans="4:8" ht="2.1" customHeight="1">
      <c r="H1" s="20" t="s">
        <v>47</v>
      </c>
    </row>
    <row r="2" spans="4:8" ht="3.75" customHeight="1"/>
    <row r="3" spans="4:8" ht="12.75" customHeight="1">
      <c r="D3" s="21" t="s">
        <v>48</v>
      </c>
      <c r="E3" s="21"/>
      <c r="F3" s="21"/>
    </row>
    <row r="4" spans="4:8" ht="3.2" customHeight="1">
      <c r="D4" s="21"/>
      <c r="E4" s="21"/>
      <c r="F4" s="21"/>
    </row>
    <row r="5" spans="4:8" ht="18.75" customHeight="1">
      <c r="D5" s="22" t="s">
        <v>49</v>
      </c>
      <c r="E5" s="22"/>
      <c r="F5" s="22"/>
    </row>
    <row r="6" spans="4:8" ht="16.350000000000001" customHeight="1">
      <c r="D6" s="23" t="s">
        <v>50</v>
      </c>
      <c r="E6" s="23"/>
      <c r="F6" s="23"/>
    </row>
    <row r="7" spans="4:8" ht="15.6" customHeight="1">
      <c r="D7" s="24" t="s">
        <v>51</v>
      </c>
      <c r="E7" s="24"/>
      <c r="F7" s="24"/>
    </row>
    <row r="8" spans="4:8" ht="15.6" customHeight="1">
      <c r="D8" s="24" t="s">
        <v>52</v>
      </c>
      <c r="E8" s="24"/>
      <c r="F8" s="24"/>
    </row>
    <row r="9" spans="4:8" ht="12.75" customHeight="1">
      <c r="D9" s="24" t="s">
        <v>52</v>
      </c>
      <c r="E9" s="24"/>
      <c r="F9" s="24"/>
    </row>
    <row r="10" spans="4:8" ht="17.25" customHeight="1">
      <c r="D10" s="25" t="s">
        <v>133</v>
      </c>
      <c r="E10" s="25"/>
      <c r="F10" s="26"/>
    </row>
    <row r="11" spans="4:8" ht="4.3499999999999996" customHeight="1">
      <c r="D11" s="27"/>
      <c r="E11" s="27"/>
      <c r="F11" s="27"/>
    </row>
    <row r="12" spans="4:8" ht="12.75" customHeight="1">
      <c r="D12" s="28" t="s">
        <v>54</v>
      </c>
      <c r="E12" s="28"/>
      <c r="F12" s="29"/>
    </row>
    <row r="13" spans="4:8" ht="4.3499999999999996" customHeight="1"/>
    <row r="15" spans="4:8" ht="12.75" customHeight="1">
      <c r="D15" s="30" t="s">
        <v>134</v>
      </c>
      <c r="E15" s="30"/>
      <c r="F15" s="31" t="s">
        <v>52</v>
      </c>
    </row>
    <row r="16" spans="4:8" ht="10.9" customHeight="1">
      <c r="D16" s="60" t="s">
        <v>47</v>
      </c>
      <c r="E16" s="60"/>
      <c r="F16" s="61" t="s">
        <v>52</v>
      </c>
    </row>
    <row r="17" spans="1:6" ht="10.9" customHeight="1">
      <c r="D17" s="32" t="s">
        <v>135</v>
      </c>
      <c r="E17" s="32"/>
      <c r="F17" s="77">
        <v>12100</v>
      </c>
    </row>
    <row r="18" spans="1:6" ht="10.9" customHeight="1">
      <c r="D18" s="32" t="s">
        <v>136</v>
      </c>
      <c r="E18" s="32"/>
      <c r="F18" s="77">
        <v>650</v>
      </c>
    </row>
    <row r="19" spans="1:6" ht="10.9" customHeight="1">
      <c r="D19" s="32" t="s">
        <v>137</v>
      </c>
      <c r="E19" s="32"/>
      <c r="F19" s="77">
        <v>5500</v>
      </c>
    </row>
    <row r="20" spans="1:6" ht="10.9" customHeight="1">
      <c r="D20" s="32" t="s">
        <v>138</v>
      </c>
      <c r="E20" s="32"/>
      <c r="F20" s="77">
        <v>3527</v>
      </c>
    </row>
    <row r="21" spans="1:6" ht="10.9" customHeight="1">
      <c r="D21" s="34" t="s">
        <v>47</v>
      </c>
      <c r="E21" s="34"/>
      <c r="F21" s="35" t="s">
        <v>52</v>
      </c>
    </row>
    <row r="22" spans="1:6" ht="10.9" customHeight="1">
      <c r="D22" s="36" t="s">
        <v>139</v>
      </c>
      <c r="E22" s="36"/>
      <c r="F22" s="78">
        <v>21777</v>
      </c>
    </row>
    <row r="23" spans="1:6" ht="31.9" customHeight="1"/>
    <row r="24" spans="1:6" ht="409.6" customHeight="1"/>
    <row r="25" spans="1:6" ht="12.75" customHeight="1">
      <c r="D25" s="40" t="s">
        <v>65</v>
      </c>
      <c r="E25" s="40"/>
      <c r="F25" s="40"/>
    </row>
    <row r="26" spans="1:6" ht="9.4" customHeight="1">
      <c r="D26" s="41" t="s">
        <v>66</v>
      </c>
      <c r="E26" s="41"/>
      <c r="F26" s="41"/>
    </row>
    <row r="27" spans="1:6" ht="13.7" customHeight="1">
      <c r="D27" s="42" t="s">
        <v>66</v>
      </c>
      <c r="E27" s="42"/>
      <c r="F27" s="42"/>
    </row>
    <row r="28" spans="1:6" ht="9.1999999999999993" customHeight="1">
      <c r="D28" s="43" t="s">
        <v>66</v>
      </c>
      <c r="E28" s="43"/>
      <c r="F28" s="44" t="s">
        <v>52</v>
      </c>
    </row>
    <row r="29" spans="1:6" ht="0.75" customHeight="1"/>
    <row r="30" spans="1:6" ht="2.1" customHeight="1">
      <c r="A30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X62"/>
  <sheetViews>
    <sheetView showGridLines="0" workbookViewId="0">
      <selection activeCell="R54" sqref="R54"/>
    </sheetView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1.28515625" style="20" customWidth="1"/>
    <col min="6" max="6" width="11.42578125" style="20" customWidth="1"/>
    <col min="7" max="7" width="1.28515625" style="20" customWidth="1"/>
    <col min="8" max="8" width="7.5703125" style="20" customWidth="1"/>
    <col min="9" max="9" width="1.28515625" style="20" customWidth="1"/>
    <col min="10" max="10" width="10" style="20" customWidth="1"/>
    <col min="11" max="11" width="1.28515625" style="20" customWidth="1"/>
    <col min="12" max="12" width="11.42578125" style="20" customWidth="1"/>
    <col min="13" max="13" width="1.28515625" style="20" customWidth="1"/>
    <col min="14" max="14" width="9.42578125" style="20" customWidth="1"/>
    <col min="15" max="15" width="1.28515625" style="20" customWidth="1"/>
    <col min="16" max="16" width="11.42578125" style="20" customWidth="1"/>
    <col min="17" max="17" width="1.28515625" style="20" customWidth="1"/>
    <col min="18" max="18" width="11.42578125" style="20" customWidth="1"/>
    <col min="19" max="19" width="1.28515625" style="20" customWidth="1"/>
    <col min="20" max="20" width="12.85546875" style="20" customWidth="1"/>
    <col min="21" max="21" width="1.28515625" style="20" customWidth="1"/>
    <col min="22" max="22" width="10.85546875" style="20" customWidth="1"/>
    <col min="23" max="23" width="11.42578125" style="20" customWidth="1"/>
    <col min="24" max="25" width="0.42578125" style="20" customWidth="1"/>
    <col min="26" max="26" width="1" style="20"/>
    <col min="27" max="256" width="13.28515625" style="20" customWidth="1"/>
    <col min="257" max="16384" width="1" style="20"/>
  </cols>
  <sheetData>
    <row r="1" spans="4:24" ht="2.1" customHeight="1">
      <c r="X1" s="20" t="s">
        <v>47</v>
      </c>
    </row>
    <row r="2" spans="4:24" ht="3.75" customHeight="1"/>
    <row r="3" spans="4:24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</row>
    <row r="4" spans="4:24" ht="3.2" customHeight="1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5" spans="4:24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4:24" ht="16.350000000000001" customHeight="1">
      <c r="D6" s="23" t="s">
        <v>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4:24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</row>
    <row r="8" spans="4:24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24"/>
    </row>
    <row r="9" spans="4:24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</row>
    <row r="10" spans="4:24" ht="17.25" customHeight="1">
      <c r="D10" s="25" t="s">
        <v>67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6"/>
    </row>
    <row r="11" spans="4:24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</row>
    <row r="12" spans="4:24" ht="1.1499999999999999" customHeight="1"/>
    <row r="13" spans="4:24" ht="12.75" customHeight="1"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</row>
    <row r="14" spans="4:24" ht="23.25" customHeight="1">
      <c r="D14" s="46" t="s">
        <v>68</v>
      </c>
      <c r="E14" s="46"/>
      <c r="F14" s="46" t="s">
        <v>69</v>
      </c>
      <c r="G14" s="46"/>
      <c r="H14" s="46" t="s">
        <v>70</v>
      </c>
      <c r="I14" s="46"/>
      <c r="J14" s="46" t="s">
        <v>71</v>
      </c>
      <c r="K14" s="46"/>
      <c r="L14" s="46" t="s">
        <v>72</v>
      </c>
      <c r="M14" s="46"/>
      <c r="N14" s="46" t="s">
        <v>90</v>
      </c>
      <c r="O14" s="46"/>
      <c r="P14" s="46" t="s">
        <v>91</v>
      </c>
      <c r="Q14" s="46"/>
      <c r="R14" s="46" t="s">
        <v>140</v>
      </c>
      <c r="S14" s="46"/>
      <c r="T14" s="46" t="s">
        <v>141</v>
      </c>
      <c r="U14" s="46"/>
      <c r="V14" s="46" t="s">
        <v>142</v>
      </c>
    </row>
    <row r="15" spans="4:24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4:24" ht="0.95" customHeigh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8"/>
    </row>
    <row r="17" spans="4:22" ht="10.9" customHeight="1">
      <c r="D17" s="50">
        <v>41306</v>
      </c>
      <c r="E17" s="51"/>
      <c r="F17" s="52">
        <v>0</v>
      </c>
      <c r="G17" s="52"/>
      <c r="H17" s="53">
        <v>0</v>
      </c>
      <c r="I17" s="53"/>
      <c r="J17" s="52">
        <v>23313.200000000001</v>
      </c>
      <c r="K17" s="52"/>
      <c r="L17" s="52">
        <v>23313.200000000001</v>
      </c>
      <c r="M17" s="52"/>
      <c r="N17" s="52">
        <v>-23313.200000000001</v>
      </c>
      <c r="O17" s="52"/>
      <c r="P17" s="52">
        <v>0</v>
      </c>
      <c r="Q17" s="52"/>
      <c r="R17" s="52">
        <v>0</v>
      </c>
      <c r="S17" s="52"/>
      <c r="T17" s="52">
        <v>0</v>
      </c>
      <c r="U17" s="52"/>
      <c r="V17" s="54">
        <v>0</v>
      </c>
    </row>
    <row r="18" spans="4:22" ht="10.9" customHeight="1">
      <c r="D18" s="50">
        <v>41671</v>
      </c>
      <c r="E18" s="51"/>
      <c r="F18" s="52">
        <v>0</v>
      </c>
      <c r="G18" s="52"/>
      <c r="H18" s="53">
        <v>0</v>
      </c>
      <c r="I18" s="53"/>
      <c r="J18" s="52">
        <v>33978.76</v>
      </c>
      <c r="K18" s="52"/>
      <c r="L18" s="52">
        <v>33978.76</v>
      </c>
      <c r="M18" s="52"/>
      <c r="N18" s="52">
        <v>0</v>
      </c>
      <c r="O18" s="52"/>
      <c r="P18" s="52">
        <v>33978.76</v>
      </c>
      <c r="Q18" s="52"/>
      <c r="R18" s="52">
        <v>35677.697999999997</v>
      </c>
      <c r="S18" s="52"/>
      <c r="T18" s="52">
        <v>0</v>
      </c>
      <c r="U18" s="52"/>
      <c r="V18" s="54">
        <v>35677.697999999997</v>
      </c>
    </row>
    <row r="19" spans="4:22" ht="10.9" customHeight="1">
      <c r="D19" s="50">
        <v>42036</v>
      </c>
      <c r="E19" s="51"/>
      <c r="F19" s="52">
        <v>90000</v>
      </c>
      <c r="G19" s="52"/>
      <c r="H19" s="53">
        <v>0.75</v>
      </c>
      <c r="I19" s="53"/>
      <c r="J19" s="52">
        <v>33978.76</v>
      </c>
      <c r="K19" s="52"/>
      <c r="L19" s="52">
        <v>123978.76</v>
      </c>
      <c r="M19" s="52"/>
      <c r="N19" s="52">
        <v>0</v>
      </c>
      <c r="O19" s="52"/>
      <c r="P19" s="52">
        <v>123978.76</v>
      </c>
      <c r="Q19" s="52"/>
      <c r="R19" s="52">
        <v>130177.698</v>
      </c>
      <c r="S19" s="52"/>
      <c r="T19" s="52">
        <v>46749.15</v>
      </c>
      <c r="U19" s="52"/>
      <c r="V19" s="54">
        <v>83428.548000000024</v>
      </c>
    </row>
    <row r="20" spans="4:22" ht="10.9" customHeight="1">
      <c r="D20" s="50">
        <v>42401</v>
      </c>
      <c r="E20" s="51"/>
      <c r="F20" s="52">
        <v>95000</v>
      </c>
      <c r="G20" s="52"/>
      <c r="H20" s="53">
        <v>1</v>
      </c>
      <c r="I20" s="53"/>
      <c r="J20" s="52">
        <v>33303.760000000002</v>
      </c>
      <c r="K20" s="52"/>
      <c r="L20" s="52">
        <v>128303.76</v>
      </c>
      <c r="M20" s="52"/>
      <c r="N20" s="52">
        <v>0</v>
      </c>
      <c r="O20" s="52"/>
      <c r="P20" s="52">
        <v>128303.76</v>
      </c>
      <c r="Q20" s="52"/>
      <c r="R20" s="52">
        <v>134718.948</v>
      </c>
      <c r="S20" s="52"/>
      <c r="T20" s="52">
        <v>46749.15</v>
      </c>
      <c r="U20" s="52"/>
      <c r="V20" s="54">
        <v>87969.79800000001</v>
      </c>
    </row>
    <row r="21" spans="4:22" ht="10.9" customHeight="1">
      <c r="D21" s="50">
        <v>42767</v>
      </c>
      <c r="E21" s="50"/>
      <c r="F21" s="54">
        <v>95000</v>
      </c>
      <c r="G21" s="54"/>
      <c r="H21" s="55">
        <v>1.25</v>
      </c>
      <c r="I21" s="55"/>
      <c r="J21" s="54">
        <v>32353.759999999998</v>
      </c>
      <c r="K21" s="54"/>
      <c r="L21" s="54">
        <v>127353.76</v>
      </c>
      <c r="M21" s="54"/>
      <c r="N21" s="54">
        <v>0</v>
      </c>
      <c r="O21" s="54"/>
      <c r="P21" s="54">
        <v>127353.76</v>
      </c>
      <c r="Q21" s="54"/>
      <c r="R21" s="54">
        <v>133721.448</v>
      </c>
      <c r="S21" s="54"/>
      <c r="T21" s="54">
        <v>46749.149999999987</v>
      </c>
      <c r="U21" s="54"/>
      <c r="V21" s="54">
        <v>86972.29800000001</v>
      </c>
    </row>
    <row r="22" spans="4:22" ht="10.9" customHeight="1">
      <c r="D22" s="50">
        <v>43132</v>
      </c>
      <c r="E22" s="51"/>
      <c r="F22" s="52">
        <v>95000</v>
      </c>
      <c r="G22" s="52"/>
      <c r="H22" s="53">
        <v>1.5</v>
      </c>
      <c r="I22" s="53"/>
      <c r="J22" s="52">
        <v>31166.26</v>
      </c>
      <c r="K22" s="52"/>
      <c r="L22" s="52">
        <v>126166.26</v>
      </c>
      <c r="M22" s="52"/>
      <c r="N22" s="52">
        <v>0</v>
      </c>
      <c r="O22" s="52"/>
      <c r="P22" s="52">
        <v>126166.26</v>
      </c>
      <c r="Q22" s="52"/>
      <c r="R22" s="52">
        <v>132474.573</v>
      </c>
      <c r="S22" s="52"/>
      <c r="T22" s="52">
        <v>46749.14</v>
      </c>
      <c r="U22" s="52"/>
      <c r="V22" s="54">
        <v>85725.433000000019</v>
      </c>
    </row>
    <row r="23" spans="4:22" ht="10.9" customHeight="1">
      <c r="D23" s="50">
        <v>43497</v>
      </c>
      <c r="E23" s="51"/>
      <c r="F23" s="52">
        <v>95000</v>
      </c>
      <c r="G23" s="52"/>
      <c r="H23" s="53">
        <v>1.7</v>
      </c>
      <c r="I23" s="53"/>
      <c r="J23" s="52">
        <v>29741.26</v>
      </c>
      <c r="K23" s="52"/>
      <c r="L23" s="52">
        <v>124741.26</v>
      </c>
      <c r="M23" s="52"/>
      <c r="N23" s="52">
        <v>0</v>
      </c>
      <c r="O23" s="52"/>
      <c r="P23" s="52">
        <v>124741.26</v>
      </c>
      <c r="Q23" s="52"/>
      <c r="R23" s="52">
        <v>130978.323</v>
      </c>
      <c r="S23" s="52"/>
      <c r="T23" s="52">
        <v>46749.15</v>
      </c>
      <c r="U23" s="52"/>
      <c r="V23" s="54">
        <v>84229.17300000001</v>
      </c>
    </row>
    <row r="24" spans="4:22" ht="10.9" customHeight="1">
      <c r="D24" s="50">
        <v>43862</v>
      </c>
      <c r="E24" s="51"/>
      <c r="F24" s="52">
        <v>100000</v>
      </c>
      <c r="G24" s="52"/>
      <c r="H24" s="53">
        <v>1.9</v>
      </c>
      <c r="I24" s="53"/>
      <c r="J24" s="52">
        <v>28126.26</v>
      </c>
      <c r="K24" s="52"/>
      <c r="L24" s="52">
        <v>128126.26</v>
      </c>
      <c r="M24" s="52"/>
      <c r="N24" s="52">
        <v>0</v>
      </c>
      <c r="O24" s="52"/>
      <c r="P24" s="52">
        <v>128126.26</v>
      </c>
      <c r="Q24" s="52"/>
      <c r="R24" s="52">
        <v>134532.573</v>
      </c>
      <c r="S24" s="52"/>
      <c r="T24" s="52">
        <v>46749.16</v>
      </c>
      <c r="U24" s="52"/>
      <c r="V24" s="54">
        <v>87783.413000000015</v>
      </c>
    </row>
    <row r="25" spans="4:22" ht="10.9" customHeight="1">
      <c r="D25" s="50">
        <v>44228</v>
      </c>
      <c r="E25" s="51"/>
      <c r="F25" s="52">
        <v>100000</v>
      </c>
      <c r="G25" s="52"/>
      <c r="H25" s="53">
        <v>2.0499999999999998</v>
      </c>
      <c r="I25" s="53"/>
      <c r="J25" s="52">
        <v>26226.26</v>
      </c>
      <c r="K25" s="52"/>
      <c r="L25" s="52">
        <v>126226.26</v>
      </c>
      <c r="M25" s="52"/>
      <c r="N25" s="52">
        <v>0</v>
      </c>
      <c r="O25" s="52"/>
      <c r="P25" s="52">
        <v>126226.26</v>
      </c>
      <c r="Q25" s="52"/>
      <c r="R25" s="52">
        <v>132537.573</v>
      </c>
      <c r="S25" s="52"/>
      <c r="T25" s="52">
        <v>46749.16</v>
      </c>
      <c r="U25" s="52"/>
      <c r="V25" s="54">
        <v>85788.413000000015</v>
      </c>
    </row>
    <row r="26" spans="4:22" ht="10.9" customHeight="1">
      <c r="D26" s="50">
        <v>44593</v>
      </c>
      <c r="E26" s="50"/>
      <c r="F26" s="54">
        <v>100000</v>
      </c>
      <c r="G26" s="54"/>
      <c r="H26" s="55">
        <v>2.2000000000000002</v>
      </c>
      <c r="I26" s="55"/>
      <c r="J26" s="54">
        <v>24176.26</v>
      </c>
      <c r="K26" s="54"/>
      <c r="L26" s="54">
        <v>124176.26</v>
      </c>
      <c r="M26" s="54"/>
      <c r="N26" s="54">
        <v>0</v>
      </c>
      <c r="O26" s="54"/>
      <c r="P26" s="54">
        <v>124176.26</v>
      </c>
      <c r="Q26" s="54"/>
      <c r="R26" s="54">
        <v>130385.073</v>
      </c>
      <c r="S26" s="54"/>
      <c r="T26" s="54">
        <v>46749.16</v>
      </c>
      <c r="U26" s="54"/>
      <c r="V26" s="54">
        <v>83635.91300000003</v>
      </c>
    </row>
    <row r="27" spans="4:22" ht="10.9" customHeight="1">
      <c r="D27" s="50">
        <v>44958</v>
      </c>
      <c r="E27" s="51"/>
      <c r="F27" s="52">
        <v>105000</v>
      </c>
      <c r="G27" s="52"/>
      <c r="H27" s="53">
        <v>2.4</v>
      </c>
      <c r="I27" s="53"/>
      <c r="J27" s="52">
        <v>21976.26</v>
      </c>
      <c r="K27" s="52"/>
      <c r="L27" s="52">
        <v>126976.26</v>
      </c>
      <c r="M27" s="52"/>
      <c r="N27" s="52">
        <v>0</v>
      </c>
      <c r="O27" s="52"/>
      <c r="P27" s="52">
        <v>126976.26</v>
      </c>
      <c r="Q27" s="52"/>
      <c r="R27" s="52">
        <v>133325.073</v>
      </c>
      <c r="S27" s="52"/>
      <c r="T27" s="52">
        <v>46749.15</v>
      </c>
      <c r="U27" s="52"/>
      <c r="V27" s="54">
        <v>86575.923000000024</v>
      </c>
    </row>
    <row r="28" spans="4:22" ht="10.9" customHeight="1">
      <c r="D28" s="50">
        <v>45323</v>
      </c>
      <c r="E28" s="51"/>
      <c r="F28" s="52">
        <v>105000</v>
      </c>
      <c r="G28" s="52"/>
      <c r="H28" s="53">
        <v>2.5</v>
      </c>
      <c r="I28" s="53"/>
      <c r="J28" s="52">
        <v>19456.259999999998</v>
      </c>
      <c r="K28" s="52"/>
      <c r="L28" s="52">
        <v>124456.26</v>
      </c>
      <c r="M28" s="52"/>
      <c r="N28" s="52">
        <v>0</v>
      </c>
      <c r="O28" s="52"/>
      <c r="P28" s="52">
        <v>124456.26</v>
      </c>
      <c r="Q28" s="52"/>
      <c r="R28" s="52">
        <v>130679.073</v>
      </c>
      <c r="S28" s="52"/>
      <c r="T28" s="52">
        <v>46749.15</v>
      </c>
      <c r="U28" s="52"/>
      <c r="V28" s="54">
        <v>83929.92300000001</v>
      </c>
    </row>
    <row r="29" spans="4:22" ht="10.9" customHeight="1">
      <c r="D29" s="50">
        <v>45689</v>
      </c>
      <c r="E29" s="51"/>
      <c r="F29" s="52">
        <v>110000</v>
      </c>
      <c r="G29" s="52"/>
      <c r="H29" s="53">
        <v>2.625</v>
      </c>
      <c r="I29" s="53"/>
      <c r="J29" s="52">
        <v>16831.259999999998</v>
      </c>
      <c r="K29" s="52"/>
      <c r="L29" s="52">
        <v>126831.26</v>
      </c>
      <c r="M29" s="52"/>
      <c r="N29" s="52">
        <v>0</v>
      </c>
      <c r="O29" s="52"/>
      <c r="P29" s="52">
        <v>126831.26</v>
      </c>
      <c r="Q29" s="52"/>
      <c r="R29" s="52">
        <v>133172.823</v>
      </c>
      <c r="S29" s="52"/>
      <c r="T29" s="52">
        <v>46749.15</v>
      </c>
      <c r="U29" s="52"/>
      <c r="V29" s="54">
        <v>86423.67300000001</v>
      </c>
    </row>
    <row r="30" spans="4:22" ht="10.9" customHeight="1">
      <c r="D30" s="50">
        <v>46054</v>
      </c>
      <c r="E30" s="51"/>
      <c r="F30" s="52">
        <v>115000</v>
      </c>
      <c r="G30" s="52"/>
      <c r="H30" s="53">
        <v>2.75</v>
      </c>
      <c r="I30" s="53"/>
      <c r="J30" s="52">
        <v>13943.76</v>
      </c>
      <c r="K30" s="52"/>
      <c r="L30" s="52">
        <v>128943.76</v>
      </c>
      <c r="M30" s="52"/>
      <c r="N30" s="52">
        <v>0</v>
      </c>
      <c r="O30" s="52"/>
      <c r="P30" s="52">
        <v>128943.76</v>
      </c>
      <c r="Q30" s="52"/>
      <c r="R30" s="52">
        <v>135390.948</v>
      </c>
      <c r="S30" s="52"/>
      <c r="T30" s="52">
        <v>46749.15</v>
      </c>
      <c r="U30" s="52"/>
      <c r="V30" s="54">
        <v>88641.79800000001</v>
      </c>
    </row>
    <row r="31" spans="4:22" ht="10.9" customHeight="1">
      <c r="D31" s="50">
        <v>46419</v>
      </c>
      <c r="E31" s="50"/>
      <c r="F31" s="54">
        <v>115000</v>
      </c>
      <c r="G31" s="54"/>
      <c r="H31" s="55">
        <v>2.875</v>
      </c>
      <c r="I31" s="55"/>
      <c r="J31" s="54">
        <v>10781.26</v>
      </c>
      <c r="K31" s="54"/>
      <c r="L31" s="54">
        <v>125781.26</v>
      </c>
      <c r="M31" s="54"/>
      <c r="N31" s="54">
        <v>0</v>
      </c>
      <c r="O31" s="54"/>
      <c r="P31" s="54">
        <v>125781.26</v>
      </c>
      <c r="Q31" s="54"/>
      <c r="R31" s="54">
        <v>132070.323</v>
      </c>
      <c r="S31" s="54"/>
      <c r="T31" s="54">
        <v>46749.16</v>
      </c>
      <c r="U31" s="54"/>
      <c r="V31" s="54">
        <v>85321.16300000003</v>
      </c>
    </row>
    <row r="32" spans="4:22" ht="10.9" customHeight="1">
      <c r="D32" s="50">
        <v>46784</v>
      </c>
      <c r="E32" s="51"/>
      <c r="F32" s="52">
        <v>120000</v>
      </c>
      <c r="G32" s="52"/>
      <c r="H32" s="53">
        <v>3</v>
      </c>
      <c r="I32" s="53"/>
      <c r="J32" s="52">
        <v>7475</v>
      </c>
      <c r="K32" s="52"/>
      <c r="L32" s="52">
        <v>127475</v>
      </c>
      <c r="M32" s="52"/>
      <c r="N32" s="52">
        <v>0</v>
      </c>
      <c r="O32" s="52"/>
      <c r="P32" s="52">
        <v>127475</v>
      </c>
      <c r="Q32" s="52"/>
      <c r="R32" s="52">
        <v>133848.75</v>
      </c>
      <c r="S32" s="52"/>
      <c r="T32" s="52">
        <v>46749.16</v>
      </c>
      <c r="U32" s="52"/>
      <c r="V32" s="54">
        <v>87099.59</v>
      </c>
    </row>
    <row r="33" spans="4:22" ht="10.9" customHeight="1">
      <c r="D33" s="50">
        <v>47150</v>
      </c>
      <c r="E33" s="51"/>
      <c r="F33" s="52">
        <v>125000</v>
      </c>
      <c r="G33" s="52"/>
      <c r="H33" s="53">
        <v>3.1</v>
      </c>
      <c r="I33" s="53"/>
      <c r="J33" s="52">
        <v>3875</v>
      </c>
      <c r="K33" s="52"/>
      <c r="L33" s="52">
        <v>128875</v>
      </c>
      <c r="M33" s="52"/>
      <c r="N33" s="52">
        <v>0</v>
      </c>
      <c r="O33" s="52"/>
      <c r="P33" s="52">
        <v>128875</v>
      </c>
      <c r="Q33" s="52"/>
      <c r="R33" s="52">
        <v>135318.75</v>
      </c>
      <c r="S33" s="52"/>
      <c r="T33" s="52">
        <v>46749.16</v>
      </c>
      <c r="U33" s="52"/>
      <c r="V33" s="54">
        <v>88569.59</v>
      </c>
    </row>
    <row r="34" spans="4:22" ht="1.1499999999999999" customHeight="1"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8"/>
    </row>
    <row r="35" spans="4:22" ht="1.1499999999999999" customHeight="1"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</row>
    <row r="36" spans="4:22" ht="12.75" customHeight="1">
      <c r="D36" s="56">
        <v>0</v>
      </c>
      <c r="E36" s="56"/>
      <c r="F36" s="57">
        <v>1565000</v>
      </c>
      <c r="G36" s="57"/>
      <c r="H36" s="58">
        <v>0</v>
      </c>
      <c r="I36" s="58"/>
      <c r="J36" s="57">
        <v>390703.34</v>
      </c>
      <c r="K36" s="57"/>
      <c r="L36" s="57">
        <v>1955703.34</v>
      </c>
      <c r="M36" s="57"/>
      <c r="N36" s="57">
        <v>-23313.200000000001</v>
      </c>
      <c r="O36" s="57"/>
      <c r="P36" s="57">
        <v>1932390.14</v>
      </c>
      <c r="Q36" s="57"/>
      <c r="R36" s="57">
        <v>2029009.65</v>
      </c>
      <c r="S36" s="57"/>
      <c r="T36" s="57">
        <v>701237.3</v>
      </c>
      <c r="U36" s="57"/>
      <c r="V36" s="57">
        <v>1327772.3500000001</v>
      </c>
    </row>
    <row r="37" spans="4:22" ht="1.1499999999999999" customHeight="1"/>
    <row r="38" spans="4:22" ht="10.9" customHeight="1"/>
    <row r="39" spans="4:22" ht="10.9" customHeight="1">
      <c r="D39" s="30" t="s">
        <v>75</v>
      </c>
      <c r="E39" s="30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31" t="s">
        <v>52</v>
      </c>
    </row>
    <row r="40" spans="4:22" ht="10.9" customHeight="1">
      <c r="D40" s="60" t="s">
        <v>47</v>
      </c>
      <c r="E40" s="60"/>
      <c r="V40" s="61" t="s">
        <v>52</v>
      </c>
    </row>
    <row r="41" spans="4:22" ht="10.9" customHeight="1">
      <c r="D41" s="32" t="s">
        <v>76</v>
      </c>
      <c r="E41" s="32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62">
        <v>5242012</v>
      </c>
    </row>
    <row r="42" spans="4:22" ht="10.9" customHeight="1">
      <c r="D42" s="32" t="s">
        <v>77</v>
      </c>
      <c r="E42" s="32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62">
        <v>2012013</v>
      </c>
    </row>
    <row r="43" spans="4:22" ht="10.9" customHeight="1">
      <c r="D43" s="34" t="s">
        <v>47</v>
      </c>
      <c r="E43" s="60"/>
      <c r="V43" s="35" t="s">
        <v>52</v>
      </c>
    </row>
    <row r="44" spans="4:22" ht="10.9" customHeight="1">
      <c r="D44" s="30" t="s">
        <v>78</v>
      </c>
      <c r="E44" s="30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38" t="s">
        <v>52</v>
      </c>
    </row>
    <row r="45" spans="4:22" ht="10.9" customHeight="1">
      <c r="D45" s="34" t="s">
        <v>47</v>
      </c>
      <c r="E45" s="60"/>
      <c r="V45" s="35" t="s">
        <v>52</v>
      </c>
    </row>
    <row r="46" spans="4:22" ht="10.9" customHeight="1">
      <c r="D46" s="32" t="s">
        <v>79</v>
      </c>
      <c r="E46" s="32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33">
        <v>15793.7638888889</v>
      </c>
    </row>
    <row r="47" spans="4:22" ht="10.9" customHeight="1">
      <c r="D47" s="32" t="s">
        <v>80</v>
      </c>
      <c r="E47" s="32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63">
        <v>10.091861909833201</v>
      </c>
    </row>
    <row r="48" spans="4:22" ht="10.9" customHeight="1">
      <c r="D48" s="32" t="s">
        <v>81</v>
      </c>
      <c r="E48" s="32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64">
        <v>2.4737823279406199</v>
      </c>
    </row>
    <row r="49" spans="1:22" ht="10.9" customHeight="1">
      <c r="D49" s="34" t="s">
        <v>47</v>
      </c>
      <c r="E49" s="60"/>
      <c r="V49" s="35" t="s">
        <v>52</v>
      </c>
    </row>
    <row r="50" spans="1:22" ht="10.9" customHeight="1">
      <c r="D50" s="32" t="s">
        <v>82</v>
      </c>
      <c r="E50" s="32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64">
        <v>2.5728720706397001</v>
      </c>
    </row>
    <row r="51" spans="1:22" ht="10.9" customHeight="1">
      <c r="D51" s="32" t="s">
        <v>83</v>
      </c>
      <c r="E51" s="32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64">
        <v>2.5619332097206802</v>
      </c>
    </row>
    <row r="52" spans="1:22" ht="10.9" customHeight="1">
      <c r="D52" s="32" t="s">
        <v>84</v>
      </c>
      <c r="E52" s="32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64">
        <v>2.4476116666157801</v>
      </c>
    </row>
    <row r="53" spans="1:22" ht="10.9" customHeight="1">
      <c r="D53" s="32" t="s">
        <v>85</v>
      </c>
      <c r="E53" s="32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64">
        <v>2.7235608768270501</v>
      </c>
    </row>
    <row r="54" spans="1:22" ht="10.9" customHeight="1">
      <c r="D54" s="60" t="s">
        <v>47</v>
      </c>
      <c r="E54" s="60"/>
      <c r="V54" s="61" t="s">
        <v>52</v>
      </c>
    </row>
    <row r="55" spans="1:22" ht="2.1" customHeight="1"/>
    <row r="56" spans="1:22" ht="0.95" customHeight="1"/>
    <row r="57" spans="1:22" ht="12.75" customHeight="1">
      <c r="D57" s="40" t="s">
        <v>143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</row>
    <row r="58" spans="1:22" ht="9.4" customHeight="1">
      <c r="D58" s="41" t="s">
        <v>66</v>
      </c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</row>
    <row r="59" spans="1:22" ht="13.7" customHeight="1">
      <c r="D59" s="42" t="s">
        <v>66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ht="9.1999999999999993" customHeight="1">
      <c r="D60" s="43" t="s">
        <v>66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4" t="s">
        <v>52</v>
      </c>
    </row>
    <row r="61" spans="1:22" ht="0.75" customHeight="1"/>
    <row r="62" spans="1:22" ht="2.1" customHeight="1">
      <c r="A62" s="20" t="s">
        <v>47</v>
      </c>
    </row>
  </sheetData>
  <printOptions horizontalCentered="1"/>
  <pageMargins left="0.26194246503035101" right="0.26194246503035101" top="0.26194246503035101" bottom="0.26194246503035101" header="0.5" footer="0.5"/>
  <pageSetup scale="95" orientation="landscape" horizontalDpi="0" verticalDpi="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N48"/>
  <sheetViews>
    <sheetView showGridLines="0" workbookViewId="0"/>
  </sheetViews>
  <sheetFormatPr defaultColWidth="1" defaultRowHeight="12.75" customHeight="1"/>
  <cols>
    <col min="1" max="1" width="0.42578125" style="20" customWidth="1"/>
    <col min="2" max="2" width="4.85546875" style="20" customWidth="1"/>
    <col min="3" max="3" width="3.28515625" style="20" customWidth="1"/>
    <col min="4" max="4" width="8.5703125" style="20" customWidth="1"/>
    <col min="5" max="5" width="9" style="20" customWidth="1"/>
    <col min="6" max="6" width="10" style="20" customWidth="1"/>
    <col min="7" max="7" width="9" style="20" customWidth="1"/>
    <col min="8" max="8" width="7.5703125" style="20" customWidth="1"/>
    <col min="9" max="9" width="9" style="20" customWidth="1"/>
    <col min="10" max="10" width="10" style="20" customWidth="1"/>
    <col min="11" max="11" width="9" style="20" customWidth="1"/>
    <col min="12" max="12" width="9.42578125" style="20" customWidth="1"/>
    <col min="13" max="13" width="11.42578125" style="20" customWidth="1"/>
    <col min="14" max="15" width="0.42578125" style="20" customWidth="1"/>
    <col min="16" max="16" width="1" style="20"/>
    <col min="17" max="256" width="13.28515625" style="20" customWidth="1"/>
    <col min="257" max="16384" width="1" style="20"/>
  </cols>
  <sheetData>
    <row r="1" spans="4:14" ht="2.1" customHeight="1">
      <c r="N1" s="20" t="s">
        <v>47</v>
      </c>
    </row>
    <row r="2" spans="4:14" ht="3.75" customHeight="1"/>
    <row r="3" spans="4:14" ht="12.75" customHeight="1">
      <c r="D3" s="21" t="s">
        <v>48</v>
      </c>
      <c r="E3" s="21"/>
      <c r="F3" s="21"/>
      <c r="G3" s="21"/>
      <c r="H3" s="21"/>
      <c r="I3" s="21"/>
      <c r="J3" s="21"/>
      <c r="K3" s="21"/>
      <c r="L3" s="21"/>
    </row>
    <row r="4" spans="4:14" ht="3.2" customHeight="1">
      <c r="D4" s="21"/>
      <c r="E4" s="21"/>
      <c r="F4" s="21"/>
      <c r="G4" s="21"/>
      <c r="H4" s="21"/>
      <c r="I4" s="21"/>
      <c r="J4" s="21"/>
      <c r="K4" s="21"/>
      <c r="L4" s="21"/>
    </row>
    <row r="5" spans="4:14" ht="18.75" customHeight="1">
      <c r="D5" s="22" t="s">
        <v>49</v>
      </c>
      <c r="E5" s="22"/>
      <c r="F5" s="22"/>
      <c r="G5" s="22"/>
      <c r="H5" s="22"/>
      <c r="I5" s="22"/>
      <c r="J5" s="22"/>
      <c r="K5" s="22"/>
      <c r="L5" s="22"/>
    </row>
    <row r="6" spans="4:14" ht="16.350000000000001" customHeight="1">
      <c r="D6" s="23" t="s">
        <v>144</v>
      </c>
      <c r="E6" s="23"/>
      <c r="F6" s="23"/>
      <c r="G6" s="23"/>
      <c r="H6" s="23"/>
      <c r="I6" s="23"/>
      <c r="J6" s="23"/>
      <c r="K6" s="23"/>
      <c r="L6" s="23"/>
    </row>
    <row r="7" spans="4:14" ht="15.6" customHeight="1">
      <c r="D7" s="24" t="s">
        <v>51</v>
      </c>
      <c r="E7" s="24"/>
      <c r="F7" s="24"/>
      <c r="G7" s="24"/>
      <c r="H7" s="24"/>
      <c r="I7" s="24"/>
      <c r="J7" s="24"/>
      <c r="K7" s="24"/>
      <c r="L7" s="24"/>
    </row>
    <row r="8" spans="4:14" ht="15.6" customHeight="1">
      <c r="D8" s="24" t="s">
        <v>52</v>
      </c>
      <c r="E8" s="45"/>
      <c r="F8" s="45"/>
      <c r="G8" s="45"/>
      <c r="H8" s="45"/>
      <c r="I8" s="45"/>
      <c r="J8" s="45"/>
      <c r="K8" s="45"/>
      <c r="L8" s="24"/>
    </row>
    <row r="9" spans="4:14" ht="12.75" customHeight="1">
      <c r="D9" s="24" t="s">
        <v>52</v>
      </c>
      <c r="E9" s="24"/>
      <c r="F9" s="24"/>
      <c r="G9" s="24"/>
      <c r="H9" s="24"/>
      <c r="I9" s="24"/>
      <c r="J9" s="24"/>
      <c r="K9" s="24"/>
      <c r="L9" s="24"/>
    </row>
    <row r="10" spans="4:14" ht="17.25" customHeight="1">
      <c r="D10" s="25" t="s">
        <v>145</v>
      </c>
      <c r="E10" s="25"/>
      <c r="F10" s="25"/>
      <c r="G10" s="25"/>
      <c r="H10" s="25"/>
      <c r="I10" s="25"/>
      <c r="J10" s="25"/>
      <c r="K10" s="25"/>
      <c r="L10" s="26"/>
    </row>
    <row r="11" spans="4:14" ht="4.3499999999999996" customHeight="1">
      <c r="D11" s="27"/>
      <c r="E11" s="27"/>
      <c r="F11" s="27"/>
      <c r="G11" s="27"/>
      <c r="H11" s="27"/>
      <c r="I11" s="27"/>
      <c r="J11" s="27"/>
      <c r="K11" s="27"/>
      <c r="L11" s="27"/>
    </row>
    <row r="12" spans="4:14" ht="1.1499999999999999" customHeight="1"/>
    <row r="13" spans="4:14" ht="12.75" customHeight="1">
      <c r="D13" s="46"/>
      <c r="E13" s="46"/>
      <c r="F13" s="46"/>
      <c r="G13" s="46"/>
      <c r="H13" s="46"/>
      <c r="I13" s="46"/>
      <c r="J13" s="46"/>
      <c r="K13" s="46"/>
      <c r="L13" s="46"/>
    </row>
    <row r="14" spans="4:14" ht="12.75" customHeight="1">
      <c r="D14" s="46" t="s">
        <v>68</v>
      </c>
      <c r="E14" s="46"/>
      <c r="F14" s="46" t="s">
        <v>69</v>
      </c>
      <c r="G14" s="46"/>
      <c r="H14" s="46" t="s">
        <v>70</v>
      </c>
      <c r="I14" s="46"/>
      <c r="J14" s="46" t="s">
        <v>71</v>
      </c>
      <c r="K14" s="46"/>
      <c r="L14" s="46" t="s">
        <v>72</v>
      </c>
    </row>
    <row r="15" spans="4:14" ht="1.1499999999999999" customHeight="1">
      <c r="D15" s="47"/>
      <c r="E15" s="47"/>
      <c r="F15" s="47"/>
      <c r="G15" s="47"/>
      <c r="H15" s="47"/>
      <c r="I15" s="47"/>
      <c r="J15" s="47"/>
      <c r="K15" s="47"/>
      <c r="L15" s="47"/>
    </row>
    <row r="16" spans="4:14" ht="0.95" customHeight="1">
      <c r="D16" s="48"/>
      <c r="E16" s="49"/>
      <c r="F16" s="49"/>
      <c r="G16" s="49"/>
      <c r="H16" s="49"/>
      <c r="I16" s="49"/>
      <c r="J16" s="49"/>
      <c r="K16" s="49"/>
      <c r="L16" s="48"/>
    </row>
    <row r="17" spans="4:12" ht="10.9" customHeight="1">
      <c r="D17" s="50">
        <v>42004</v>
      </c>
      <c r="E17" s="51"/>
      <c r="F17" s="52">
        <v>23949.15</v>
      </c>
      <c r="G17" s="52"/>
      <c r="H17" s="53">
        <v>4.5599999999999996</v>
      </c>
      <c r="I17" s="53"/>
      <c r="J17" s="52">
        <v>22800</v>
      </c>
      <c r="K17" s="52"/>
      <c r="L17" s="54">
        <v>46749.15</v>
      </c>
    </row>
    <row r="18" spans="4:12" ht="10.9" customHeight="1">
      <c r="D18" s="50">
        <v>42369</v>
      </c>
      <c r="E18" s="51"/>
      <c r="F18" s="52">
        <v>25041.23</v>
      </c>
      <c r="G18" s="52"/>
      <c r="H18" s="53">
        <v>4.5599999999999996</v>
      </c>
      <c r="I18" s="53"/>
      <c r="J18" s="52">
        <v>21707.919999999998</v>
      </c>
      <c r="K18" s="52"/>
      <c r="L18" s="54">
        <v>46749.15</v>
      </c>
    </row>
    <row r="19" spans="4:12" ht="10.9" customHeight="1">
      <c r="D19" s="50">
        <v>42735</v>
      </c>
      <c r="E19" s="51"/>
      <c r="F19" s="52">
        <v>26183.11</v>
      </c>
      <c r="G19" s="52"/>
      <c r="H19" s="53">
        <v>4.5599999999999996</v>
      </c>
      <c r="I19" s="53"/>
      <c r="J19" s="52">
        <v>20566.04</v>
      </c>
      <c r="K19" s="52"/>
      <c r="L19" s="54">
        <v>46749.150000000009</v>
      </c>
    </row>
    <row r="20" spans="4:12" ht="10.9" customHeight="1">
      <c r="D20" s="50">
        <v>43100</v>
      </c>
      <c r="E20" s="51"/>
      <c r="F20" s="52">
        <v>27377.06</v>
      </c>
      <c r="G20" s="52"/>
      <c r="H20" s="53">
        <v>4.5599999999999996</v>
      </c>
      <c r="I20" s="53"/>
      <c r="J20" s="52">
        <v>19372.080000000002</v>
      </c>
      <c r="K20" s="52"/>
      <c r="L20" s="54">
        <v>46749.140000000007</v>
      </c>
    </row>
    <row r="21" spans="4:12" ht="10.9" customHeight="1">
      <c r="D21" s="50">
        <v>43465</v>
      </c>
      <c r="E21" s="50"/>
      <c r="F21" s="54">
        <v>28625.45</v>
      </c>
      <c r="G21" s="54"/>
      <c r="H21" s="55">
        <v>4.5599999999999996</v>
      </c>
      <c r="I21" s="55"/>
      <c r="J21" s="54">
        <v>18123.7</v>
      </c>
      <c r="K21" s="54"/>
      <c r="L21" s="54">
        <v>46749.15</v>
      </c>
    </row>
    <row r="22" spans="4:12" ht="10.9" customHeight="1">
      <c r="D22" s="50">
        <v>43830</v>
      </c>
      <c r="E22" s="51"/>
      <c r="F22" s="52">
        <v>29930.78</v>
      </c>
      <c r="G22" s="52"/>
      <c r="H22" s="53">
        <v>4.5599999999999996</v>
      </c>
      <c r="I22" s="53"/>
      <c r="J22" s="52">
        <v>16818.38</v>
      </c>
      <c r="K22" s="52"/>
      <c r="L22" s="54">
        <v>46749.16</v>
      </c>
    </row>
    <row r="23" spans="4:12" ht="10.9" customHeight="1">
      <c r="D23" s="50">
        <v>44196</v>
      </c>
      <c r="E23" s="51"/>
      <c r="F23" s="52">
        <v>31295.62</v>
      </c>
      <c r="G23" s="52"/>
      <c r="H23" s="53">
        <v>4.5599999999999996</v>
      </c>
      <c r="I23" s="53"/>
      <c r="J23" s="52">
        <v>15453.54</v>
      </c>
      <c r="K23" s="52"/>
      <c r="L23" s="54">
        <v>46749.16</v>
      </c>
    </row>
    <row r="24" spans="4:12" ht="10.9" customHeight="1">
      <c r="D24" s="50">
        <v>44561</v>
      </c>
      <c r="E24" s="51"/>
      <c r="F24" s="52">
        <v>32722.7</v>
      </c>
      <c r="G24" s="52"/>
      <c r="H24" s="53">
        <v>4.5599999999999996</v>
      </c>
      <c r="I24" s="53"/>
      <c r="J24" s="52">
        <v>14026.46</v>
      </c>
      <c r="K24" s="52"/>
      <c r="L24" s="54">
        <v>46749.16</v>
      </c>
    </row>
    <row r="25" spans="4:12" ht="10.9" customHeight="1">
      <c r="D25" s="50">
        <v>44926</v>
      </c>
      <c r="E25" s="51"/>
      <c r="F25" s="52">
        <v>34214.85</v>
      </c>
      <c r="G25" s="52"/>
      <c r="H25" s="53">
        <v>4.5599999999999996</v>
      </c>
      <c r="I25" s="53"/>
      <c r="J25" s="52">
        <v>12534.3</v>
      </c>
      <c r="K25" s="52"/>
      <c r="L25" s="54">
        <v>46749.15</v>
      </c>
    </row>
    <row r="26" spans="4:12" ht="10.9" customHeight="1">
      <c r="D26" s="50">
        <v>45291</v>
      </c>
      <c r="E26" s="50"/>
      <c r="F26" s="54">
        <v>35775.050000000003</v>
      </c>
      <c r="G26" s="54"/>
      <c r="H26" s="55">
        <v>4.5599999999999996</v>
      </c>
      <c r="I26" s="55"/>
      <c r="J26" s="54">
        <v>10974.1</v>
      </c>
      <c r="K26" s="54"/>
      <c r="L26" s="54">
        <v>46749.150000000009</v>
      </c>
    </row>
    <row r="27" spans="4:12" ht="10.9" customHeight="1">
      <c r="D27" s="50">
        <v>45657</v>
      </c>
      <c r="E27" s="51"/>
      <c r="F27" s="52">
        <v>37406.39</v>
      </c>
      <c r="G27" s="52"/>
      <c r="H27" s="53">
        <v>4.5599999999999996</v>
      </c>
      <c r="I27" s="53"/>
      <c r="J27" s="52">
        <v>9342.76</v>
      </c>
      <c r="K27" s="52"/>
      <c r="L27" s="54">
        <v>46749.149999999987</v>
      </c>
    </row>
    <row r="28" spans="4:12" ht="10.9" customHeight="1">
      <c r="D28" s="50">
        <v>46022</v>
      </c>
      <c r="E28" s="51"/>
      <c r="F28" s="52">
        <v>39112.129999999997</v>
      </c>
      <c r="G28" s="52"/>
      <c r="H28" s="53">
        <v>4.5599999999999996</v>
      </c>
      <c r="I28" s="53"/>
      <c r="J28" s="52">
        <v>7637.02</v>
      </c>
      <c r="K28" s="52"/>
      <c r="L28" s="54">
        <v>46749.15</v>
      </c>
    </row>
    <row r="29" spans="4:12" ht="10.9" customHeight="1">
      <c r="D29" s="50">
        <v>46387</v>
      </c>
      <c r="E29" s="51"/>
      <c r="F29" s="52">
        <v>40895.64</v>
      </c>
      <c r="G29" s="52"/>
      <c r="H29" s="53">
        <v>4.5599999999999996</v>
      </c>
      <c r="I29" s="53"/>
      <c r="J29" s="52">
        <v>5853.5200000000013</v>
      </c>
      <c r="K29" s="52"/>
      <c r="L29" s="54">
        <v>46749.16</v>
      </c>
    </row>
    <row r="30" spans="4:12" ht="10.9" customHeight="1">
      <c r="D30" s="50">
        <v>46752</v>
      </c>
      <c r="E30" s="51"/>
      <c r="F30" s="52">
        <v>42760.480000000003</v>
      </c>
      <c r="G30" s="52"/>
      <c r="H30" s="53">
        <v>4.5599999999999996</v>
      </c>
      <c r="I30" s="53"/>
      <c r="J30" s="52">
        <v>3988.68</v>
      </c>
      <c r="K30" s="52"/>
      <c r="L30" s="54">
        <v>46749.16</v>
      </c>
    </row>
    <row r="31" spans="4:12" ht="10.9" customHeight="1">
      <c r="D31" s="50">
        <v>47118</v>
      </c>
      <c r="E31" s="50"/>
      <c r="F31" s="54">
        <v>44710.36</v>
      </c>
      <c r="G31" s="54"/>
      <c r="H31" s="55">
        <v>4.5599999999999996</v>
      </c>
      <c r="I31" s="55"/>
      <c r="J31" s="54">
        <v>2038.8</v>
      </c>
      <c r="K31" s="54"/>
      <c r="L31" s="54">
        <v>46749.16</v>
      </c>
    </row>
    <row r="32" spans="4:12" ht="1.1499999999999999" customHeight="1">
      <c r="D32" s="48"/>
      <c r="E32" s="49"/>
      <c r="F32" s="49"/>
      <c r="G32" s="49"/>
      <c r="H32" s="49"/>
      <c r="I32" s="49"/>
      <c r="J32" s="49"/>
      <c r="K32" s="49"/>
      <c r="L32" s="48"/>
    </row>
    <row r="33" spans="1:12" ht="1.1499999999999999" customHeight="1">
      <c r="D33" s="48"/>
      <c r="E33" s="48"/>
      <c r="F33" s="48"/>
      <c r="G33" s="48"/>
      <c r="H33" s="48"/>
      <c r="I33" s="48"/>
      <c r="J33" s="48"/>
      <c r="K33" s="48"/>
      <c r="L33" s="48"/>
    </row>
    <row r="34" spans="1:12" ht="12.75" customHeight="1">
      <c r="D34" s="56">
        <v>0</v>
      </c>
      <c r="E34" s="56"/>
      <c r="F34" s="57">
        <v>500000</v>
      </c>
      <c r="G34" s="57"/>
      <c r="H34" s="58">
        <v>0</v>
      </c>
      <c r="I34" s="58"/>
      <c r="J34" s="57">
        <v>201237.3</v>
      </c>
      <c r="K34" s="57"/>
      <c r="L34" s="57">
        <v>701237.3</v>
      </c>
    </row>
    <row r="35" spans="1:12" ht="1.1499999999999999" customHeight="1"/>
    <row r="36" spans="1:12" ht="10.9" customHeight="1"/>
    <row r="37" spans="1:12" ht="10.9" customHeight="1">
      <c r="D37" s="30" t="s">
        <v>75</v>
      </c>
      <c r="E37" s="30"/>
      <c r="F37" s="59"/>
      <c r="G37" s="59"/>
      <c r="H37" s="59"/>
      <c r="I37" s="59"/>
      <c r="J37" s="59"/>
      <c r="K37" s="59"/>
      <c r="L37" s="31" t="s">
        <v>52</v>
      </c>
    </row>
    <row r="38" spans="1:12" ht="10.9" customHeight="1">
      <c r="D38" s="60" t="s">
        <v>47</v>
      </c>
      <c r="E38" s="60"/>
      <c r="L38" s="61" t="s">
        <v>52</v>
      </c>
    </row>
    <row r="39" spans="1:12" ht="10.9" customHeight="1">
      <c r="D39" s="32" t="s">
        <v>146</v>
      </c>
      <c r="E39" s="32"/>
      <c r="F39" s="48"/>
      <c r="G39" s="48"/>
      <c r="H39" s="48"/>
      <c r="I39" s="48"/>
      <c r="J39" s="48"/>
      <c r="K39" s="48"/>
      <c r="L39" s="62">
        <v>1012014</v>
      </c>
    </row>
    <row r="40" spans="1:12" ht="10.9" customHeight="1">
      <c r="D40" s="32" t="s">
        <v>147</v>
      </c>
      <c r="E40" s="32"/>
      <c r="F40" s="48"/>
      <c r="G40" s="48"/>
      <c r="H40" s="48"/>
      <c r="I40" s="48"/>
      <c r="J40" s="48"/>
      <c r="K40" s="48"/>
      <c r="L40" s="62">
        <v>12312014</v>
      </c>
    </row>
    <row r="41" spans="1:12" ht="31.9" customHeight="1"/>
    <row r="42" spans="1:12" ht="314.64999999999998" customHeight="1"/>
    <row r="43" spans="1:12" ht="12.75" customHeight="1">
      <c r="D43" s="40" t="s">
        <v>143</v>
      </c>
      <c r="E43" s="40"/>
      <c r="F43" s="40"/>
      <c r="G43" s="40"/>
      <c r="H43" s="40"/>
      <c r="I43" s="40"/>
      <c r="J43" s="40"/>
      <c r="K43" s="40"/>
      <c r="L43" s="40"/>
    </row>
    <row r="44" spans="1:12" ht="9.4" customHeight="1">
      <c r="D44" s="41" t="s">
        <v>66</v>
      </c>
      <c r="E44" s="41"/>
      <c r="F44" s="41"/>
      <c r="G44" s="41"/>
      <c r="H44" s="41"/>
      <c r="I44" s="41"/>
      <c r="J44" s="41"/>
      <c r="K44" s="41"/>
      <c r="L44" s="41"/>
    </row>
    <row r="45" spans="1:12" ht="13.7" customHeight="1">
      <c r="D45" s="42" t="s">
        <v>66</v>
      </c>
      <c r="E45" s="42"/>
      <c r="F45" s="42"/>
      <c r="G45" s="42"/>
      <c r="H45" s="42"/>
      <c r="I45" s="42"/>
      <c r="J45" s="42"/>
      <c r="K45" s="42"/>
      <c r="L45" s="42"/>
    </row>
    <row r="46" spans="1:12" ht="9.1999999999999993" customHeight="1">
      <c r="D46" s="43" t="s">
        <v>66</v>
      </c>
      <c r="E46" s="43"/>
      <c r="F46" s="43"/>
      <c r="G46" s="43"/>
      <c r="H46" s="43"/>
      <c r="I46" s="43"/>
      <c r="J46" s="43"/>
      <c r="K46" s="43"/>
      <c r="L46" s="44" t="s">
        <v>52</v>
      </c>
    </row>
    <row r="47" spans="1:12" ht="0.75" customHeight="1"/>
    <row r="48" spans="1:12" ht="2.1" customHeight="1">
      <c r="A48" s="20" t="s">
        <v>47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  <pageSetUpPr fitToPage="1"/>
  </sheetPr>
  <dimension ref="B1:AC58"/>
  <sheetViews>
    <sheetView showGridLines="0" workbookViewId="0">
      <selection activeCell="H57" sqref="H57"/>
    </sheetView>
  </sheetViews>
  <sheetFormatPr defaultRowHeight="12.75"/>
  <cols>
    <col min="1" max="1" width="2.7109375" style="20" customWidth="1"/>
    <col min="2" max="2" width="6.42578125" style="20" bestFit="1" customWidth="1"/>
    <col min="3" max="3" width="8.42578125" style="20" bestFit="1" customWidth="1"/>
    <col min="4" max="4" width="9.140625" style="20"/>
    <col min="5" max="6" width="11.28515625" style="20" bestFit="1" customWidth="1"/>
    <col min="7" max="7" width="8.7109375" style="20" bestFit="1" customWidth="1"/>
    <col min="8" max="8" width="9.7109375" style="20" bestFit="1" customWidth="1"/>
    <col min="9" max="10" width="9.140625" style="20" bestFit="1" customWidth="1"/>
    <col min="11" max="15" width="9.140625" style="20" customWidth="1"/>
    <col min="16" max="16" width="9.140625" style="20" bestFit="1" customWidth="1"/>
    <col min="17" max="17" width="9.140625" style="20" hidden="1" customWidth="1"/>
    <col min="18" max="19" width="10.7109375" style="20" hidden="1" customWidth="1"/>
    <col min="20" max="20" width="11.28515625" style="20" hidden="1" customWidth="1"/>
    <col min="21" max="21" width="9.140625" style="20" hidden="1" customWidth="1"/>
    <col min="22" max="22" width="10.7109375" style="20" hidden="1" customWidth="1"/>
    <col min="23" max="23" width="12.28515625" style="20" hidden="1" customWidth="1"/>
    <col min="24" max="24" width="10.7109375" style="20" hidden="1" customWidth="1"/>
    <col min="25" max="25" width="9.140625" style="20"/>
    <col min="26" max="26" width="13.85546875" style="20" bestFit="1" customWidth="1"/>
    <col min="27" max="16384" width="9.140625" style="20"/>
  </cols>
  <sheetData>
    <row r="1" spans="2:29" ht="18">
      <c r="B1" s="79" t="s">
        <v>148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</row>
    <row r="2" spans="2:29" ht="15">
      <c r="B2" s="80" t="s">
        <v>149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</row>
    <row r="3" spans="2:29" ht="15"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</row>
    <row r="7" spans="2:29" ht="13.5" thickBot="1"/>
    <row r="8" spans="2:29" ht="9.75" customHeight="1" thickTop="1">
      <c r="B8" s="81" t="s">
        <v>150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3"/>
    </row>
    <row r="9" spans="2:29" ht="9.75" customHeight="1" thickBot="1">
      <c r="B9" s="84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6"/>
    </row>
    <row r="10" spans="2:29" ht="13.5" thickTop="1">
      <c r="B10" s="87"/>
      <c r="C10" s="88"/>
      <c r="D10" s="88"/>
      <c r="E10" s="88"/>
      <c r="F10" s="88"/>
      <c r="G10" s="89"/>
      <c r="H10" s="90"/>
      <c r="I10" s="88"/>
      <c r="J10" s="88"/>
      <c r="K10" s="88"/>
      <c r="L10" s="88"/>
      <c r="M10" s="88"/>
      <c r="N10" s="88"/>
      <c r="O10" s="88"/>
      <c r="P10" s="89"/>
      <c r="Q10" s="90"/>
      <c r="R10" s="88"/>
      <c r="S10" s="88"/>
      <c r="T10" s="89"/>
      <c r="U10" s="88"/>
      <c r="V10" s="88"/>
      <c r="W10" s="88"/>
      <c r="X10" s="91"/>
      <c r="Z10" s="92" t="s">
        <v>151</v>
      </c>
    </row>
    <row r="11" spans="2:29">
      <c r="B11" s="93"/>
      <c r="C11" s="94"/>
      <c r="D11" s="94"/>
      <c r="E11" s="94"/>
      <c r="F11" s="94"/>
      <c r="G11" s="95"/>
      <c r="H11" s="96" t="s">
        <v>152</v>
      </c>
      <c r="I11" s="97"/>
      <c r="J11" s="97"/>
      <c r="K11" s="97"/>
      <c r="L11" s="97"/>
      <c r="M11" s="97"/>
      <c r="N11" s="97"/>
      <c r="O11" s="97"/>
      <c r="P11" s="98"/>
      <c r="Q11" s="96" t="s">
        <v>153</v>
      </c>
      <c r="R11" s="97"/>
      <c r="S11" s="97"/>
      <c r="T11" s="98"/>
      <c r="U11" s="99" t="s">
        <v>154</v>
      </c>
      <c r="V11" s="99"/>
      <c r="W11" s="99"/>
      <c r="X11" s="100"/>
      <c r="Z11" s="101">
        <v>0</v>
      </c>
    </row>
    <row r="12" spans="2:29">
      <c r="B12" s="93"/>
      <c r="C12" s="94"/>
      <c r="D12" s="94"/>
      <c r="E12" s="94"/>
      <c r="F12" s="94"/>
      <c r="G12" s="95"/>
      <c r="H12" s="96" t="s">
        <v>155</v>
      </c>
      <c r="I12" s="97"/>
      <c r="J12" s="97"/>
      <c r="K12" s="97"/>
      <c r="L12" s="97"/>
      <c r="M12" s="97"/>
      <c r="N12" s="97"/>
      <c r="O12" s="97"/>
      <c r="P12" s="98"/>
      <c r="Q12" s="96" t="s">
        <v>155</v>
      </c>
      <c r="R12" s="97"/>
      <c r="S12" s="97"/>
      <c r="T12" s="98"/>
      <c r="U12" s="99" t="s">
        <v>155</v>
      </c>
      <c r="V12" s="99"/>
      <c r="W12" s="99"/>
      <c r="X12" s="100"/>
    </row>
    <row r="13" spans="2:29">
      <c r="B13" s="93"/>
      <c r="C13" s="94"/>
      <c r="D13" s="94"/>
      <c r="E13" s="94"/>
      <c r="F13" s="94"/>
      <c r="G13" s="95"/>
      <c r="H13" s="102"/>
      <c r="I13" s="94"/>
      <c r="J13" s="94"/>
      <c r="K13" s="94"/>
      <c r="L13" s="94"/>
      <c r="M13" s="94"/>
      <c r="N13" s="94"/>
      <c r="O13" s="94"/>
      <c r="P13" s="95"/>
      <c r="Q13" s="102"/>
      <c r="R13" s="94"/>
      <c r="S13" s="94"/>
      <c r="T13" s="95"/>
      <c r="U13" s="94"/>
      <c r="V13" s="94"/>
      <c r="W13" s="94"/>
      <c r="X13" s="103"/>
    </row>
    <row r="14" spans="2:29">
      <c r="B14" s="93"/>
      <c r="C14" s="94"/>
      <c r="D14" s="94"/>
      <c r="E14" s="94"/>
      <c r="F14" s="104"/>
      <c r="G14" s="105"/>
      <c r="H14" s="96" t="s">
        <v>156</v>
      </c>
      <c r="I14" s="97"/>
      <c r="J14" s="97"/>
      <c r="K14" s="97"/>
      <c r="L14" s="97"/>
      <c r="M14" s="97"/>
      <c r="N14" s="97"/>
      <c r="O14" s="97"/>
      <c r="P14" s="98"/>
      <c r="Q14" s="106"/>
      <c r="T14" s="107"/>
      <c r="U14" s="97"/>
      <c r="V14" s="97"/>
      <c r="W14" s="97"/>
      <c r="X14" s="108"/>
    </row>
    <row r="15" spans="2:29">
      <c r="B15" s="93"/>
      <c r="C15" s="94"/>
      <c r="D15" s="94"/>
      <c r="E15" s="94"/>
      <c r="F15" s="109"/>
      <c r="G15" s="110" t="s">
        <v>157</v>
      </c>
      <c r="H15" s="111">
        <v>50000</v>
      </c>
      <c r="I15" s="112">
        <v>60000</v>
      </c>
      <c r="J15" s="112">
        <v>70000</v>
      </c>
      <c r="K15" s="112">
        <v>80000</v>
      </c>
      <c r="L15" s="112">
        <v>90000</v>
      </c>
      <c r="M15" s="112">
        <v>100000</v>
      </c>
      <c r="N15" s="112">
        <v>110000</v>
      </c>
      <c r="O15" s="112">
        <v>120000</v>
      </c>
      <c r="P15" s="113">
        <v>130000</v>
      </c>
      <c r="Q15" s="96" t="s">
        <v>158</v>
      </c>
      <c r="R15" s="97"/>
      <c r="S15" s="97"/>
      <c r="T15" s="98"/>
      <c r="U15" s="97" t="s">
        <v>158</v>
      </c>
      <c r="V15" s="97"/>
      <c r="W15" s="97"/>
      <c r="X15" s="108"/>
    </row>
    <row r="16" spans="2:29" ht="15">
      <c r="B16" s="114" t="s">
        <v>159</v>
      </c>
      <c r="C16" s="115" t="s">
        <v>160</v>
      </c>
      <c r="D16" s="115" t="s">
        <v>161</v>
      </c>
      <c r="E16" s="115" t="s">
        <v>162</v>
      </c>
      <c r="F16" s="116">
        <v>2012</v>
      </c>
      <c r="G16" s="110" t="s">
        <v>121</v>
      </c>
      <c r="H16" s="96" t="s">
        <v>163</v>
      </c>
      <c r="I16" s="97"/>
      <c r="J16" s="97"/>
      <c r="K16" s="97"/>
      <c r="L16" s="97"/>
      <c r="M16" s="97"/>
      <c r="N16" s="97"/>
      <c r="O16" s="97"/>
      <c r="P16" s="98"/>
      <c r="Q16" s="117"/>
      <c r="R16" s="118"/>
      <c r="S16" s="118"/>
      <c r="T16" s="110"/>
      <c r="U16" s="118"/>
      <c r="V16" s="118"/>
      <c r="W16" s="118"/>
      <c r="X16" s="119"/>
      <c r="AC16" s="120"/>
    </row>
    <row r="17" spans="2:26">
      <c r="B17" s="114" t="s">
        <v>164</v>
      </c>
      <c r="C17" s="115" t="s">
        <v>164</v>
      </c>
      <c r="D17" s="115" t="s">
        <v>68</v>
      </c>
      <c r="E17" s="115" t="s">
        <v>159</v>
      </c>
      <c r="F17" s="115" t="s">
        <v>165</v>
      </c>
      <c r="G17" s="110" t="s">
        <v>166</v>
      </c>
      <c r="H17" s="121">
        <f t="shared" ref="H17:P17" si="0">H15-(MAX(0,(0.4*MIN(H15,76000))-(0.09*MAX(0,H15-76000))))</f>
        <v>30000</v>
      </c>
      <c r="I17" s="122">
        <f t="shared" si="0"/>
        <v>36000</v>
      </c>
      <c r="J17" s="122">
        <f t="shared" si="0"/>
        <v>42000</v>
      </c>
      <c r="K17" s="122">
        <f t="shared" si="0"/>
        <v>49960</v>
      </c>
      <c r="L17" s="122">
        <f t="shared" si="0"/>
        <v>60860</v>
      </c>
      <c r="M17" s="122">
        <f t="shared" si="0"/>
        <v>71760</v>
      </c>
      <c r="N17" s="122">
        <f t="shared" si="0"/>
        <v>82660</v>
      </c>
      <c r="O17" s="122">
        <f t="shared" si="0"/>
        <v>93560</v>
      </c>
      <c r="P17" s="123">
        <f t="shared" si="0"/>
        <v>104460</v>
      </c>
      <c r="Q17" s="112">
        <v>500000</v>
      </c>
      <c r="R17" s="112">
        <v>1000000</v>
      </c>
      <c r="S17" s="112">
        <v>2000000</v>
      </c>
      <c r="T17" s="113">
        <v>5000000</v>
      </c>
      <c r="U17" s="112">
        <v>500000</v>
      </c>
      <c r="V17" s="112">
        <v>1000000</v>
      </c>
      <c r="W17" s="112">
        <v>2000000</v>
      </c>
      <c r="X17" s="124">
        <v>5000000</v>
      </c>
    </row>
    <row r="18" spans="2:26" ht="3" customHeight="1">
      <c r="B18" s="125"/>
      <c r="C18" s="126"/>
      <c r="D18" s="126"/>
      <c r="E18" s="126"/>
      <c r="F18" s="126"/>
      <c r="G18" s="127"/>
      <c r="H18" s="128"/>
      <c r="I18" s="126"/>
      <c r="J18" s="126"/>
      <c r="K18" s="126"/>
      <c r="L18" s="126"/>
      <c r="M18" s="126"/>
      <c r="N18" s="126"/>
      <c r="O18" s="126"/>
      <c r="P18" s="129"/>
      <c r="Q18" s="126"/>
      <c r="R18" s="126"/>
      <c r="S18" s="126"/>
      <c r="T18" s="127"/>
      <c r="U18" s="126"/>
      <c r="V18" s="126"/>
      <c r="W18" s="126"/>
      <c r="X18" s="130"/>
    </row>
    <row r="19" spans="2:26" ht="5.0999999999999996" customHeight="1">
      <c r="B19" s="93"/>
      <c r="C19" s="94"/>
      <c r="D19" s="94"/>
      <c r="E19" s="94"/>
      <c r="F19" s="94"/>
      <c r="G19" s="95"/>
      <c r="H19" s="102"/>
      <c r="I19" s="94"/>
      <c r="J19" s="94"/>
      <c r="K19" s="94"/>
      <c r="L19" s="94"/>
      <c r="M19" s="94"/>
      <c r="N19" s="94"/>
      <c r="O19" s="94"/>
      <c r="P19" s="131"/>
      <c r="Q19" s="94"/>
      <c r="R19" s="94"/>
      <c r="S19" s="94"/>
      <c r="T19" s="95"/>
      <c r="U19" s="94"/>
      <c r="V19" s="94"/>
      <c r="W19" s="94"/>
      <c r="X19" s="103"/>
    </row>
    <row r="20" spans="2:26" ht="11.25" customHeight="1">
      <c r="B20" s="93"/>
      <c r="C20" s="94"/>
      <c r="D20" s="94"/>
      <c r="E20" s="94"/>
      <c r="F20" s="94"/>
      <c r="G20" s="132"/>
      <c r="H20" s="133"/>
      <c r="I20" s="134"/>
      <c r="J20" s="134"/>
      <c r="K20" s="134"/>
      <c r="L20" s="134"/>
      <c r="M20" s="134"/>
      <c r="N20" s="134"/>
      <c r="O20" s="134"/>
      <c r="P20" s="135"/>
      <c r="Q20" s="134"/>
      <c r="R20" s="134"/>
      <c r="S20" s="134"/>
      <c r="T20" s="132"/>
      <c r="U20" s="134"/>
      <c r="V20" s="94"/>
      <c r="W20" s="94"/>
      <c r="X20" s="103"/>
    </row>
    <row r="21" spans="2:26" hidden="1">
      <c r="B21" s="136">
        <v>2010</v>
      </c>
      <c r="C21" s="137">
        <v>2011</v>
      </c>
      <c r="D21" s="138">
        <v>40940</v>
      </c>
      <c r="E21" s="94"/>
      <c r="F21" s="139">
        <v>13870307</v>
      </c>
      <c r="G21" s="140"/>
      <c r="H21" s="141"/>
      <c r="I21" s="142"/>
      <c r="J21" s="142"/>
      <c r="K21" s="142"/>
      <c r="L21" s="142"/>
      <c r="M21" s="142"/>
      <c r="N21" s="142"/>
      <c r="O21" s="142"/>
      <c r="P21" s="143"/>
      <c r="Q21" s="142"/>
      <c r="R21" s="142"/>
      <c r="S21" s="142"/>
      <c r="T21" s="140"/>
      <c r="U21" s="144"/>
      <c r="V21" s="144"/>
      <c r="W21" s="144"/>
      <c r="X21" s="145"/>
    </row>
    <row r="22" spans="2:26" hidden="1">
      <c r="B22" s="136">
        <f t="shared" ref="B22:C37" si="1">B21+1</f>
        <v>2011</v>
      </c>
      <c r="C22" s="137">
        <f t="shared" si="1"/>
        <v>2012</v>
      </c>
      <c r="D22" s="146">
        <v>41306</v>
      </c>
      <c r="E22" s="94">
        <v>0</v>
      </c>
      <c r="F22" s="147">
        <f>F21</f>
        <v>13870307</v>
      </c>
      <c r="G22" s="140">
        <f t="shared" ref="G22:G41" si="2">E22/F22</f>
        <v>0</v>
      </c>
      <c r="H22" s="148">
        <f t="shared" ref="H22:P37" si="3">((0.01*MIN((H$15-MAX(0,(0.4*MIN(H$15,76000))-(0.09*MAX(0,H$15-76000)))),500000))+(0.0125*MAX(0,(H$15-MAX(0,(0.4*MIN(H$15,76000))-(0.09*MAX(0,H$15-76000))))-500000)))*$G22</f>
        <v>0</v>
      </c>
      <c r="I22" s="148">
        <f t="shared" si="3"/>
        <v>0</v>
      </c>
      <c r="J22" s="148">
        <f t="shared" si="3"/>
        <v>0</v>
      </c>
      <c r="K22" s="148">
        <f t="shared" si="3"/>
        <v>0</v>
      </c>
      <c r="L22" s="148">
        <f t="shared" si="3"/>
        <v>0</v>
      </c>
      <c r="M22" s="148">
        <f t="shared" si="3"/>
        <v>0</v>
      </c>
      <c r="N22" s="148">
        <f t="shared" si="3"/>
        <v>0</v>
      </c>
      <c r="O22" s="148">
        <f t="shared" si="3"/>
        <v>0</v>
      </c>
      <c r="P22" s="149">
        <f t="shared" si="3"/>
        <v>0</v>
      </c>
      <c r="Q22" s="150">
        <f t="shared" ref="Q22:Q41" si="4">(0.0125*Q$17)*G22</f>
        <v>0</v>
      </c>
      <c r="R22" s="144">
        <f t="shared" ref="R22:R41" si="5">(0.0125*$R$17)*G22</f>
        <v>0</v>
      </c>
      <c r="S22" s="144">
        <f t="shared" ref="S22:S41" si="6">(0.0125*$S$17)*G22</f>
        <v>0</v>
      </c>
      <c r="T22" s="151">
        <f t="shared" ref="T22:T41" si="7">(0.0125*$T$17)*G22</f>
        <v>0</v>
      </c>
      <c r="U22" s="150">
        <f>(0.02*$U$17)*G22</f>
        <v>0</v>
      </c>
      <c r="V22" s="150">
        <f>(0.02*$V$17)*G22</f>
        <v>0</v>
      </c>
      <c r="W22" s="150">
        <f>(0.02*$W$17)*G22</f>
        <v>0</v>
      </c>
      <c r="X22" s="152">
        <f>(0.02*$X$17)*G22</f>
        <v>0</v>
      </c>
    </row>
    <row r="23" spans="2:26">
      <c r="B23" s="153">
        <f t="shared" si="1"/>
        <v>2012</v>
      </c>
      <c r="C23" s="154">
        <f t="shared" si="1"/>
        <v>2013</v>
      </c>
      <c r="D23" s="155">
        <v>41671</v>
      </c>
      <c r="E23" s="156">
        <v>35677.697999999997</v>
      </c>
      <c r="F23" s="157">
        <v>483606</v>
      </c>
      <c r="G23" s="158">
        <f t="shared" si="2"/>
        <v>7.3774308011066853E-2</v>
      </c>
      <c r="H23" s="159">
        <f t="shared" si="3"/>
        <v>22.132292403320054</v>
      </c>
      <c r="I23" s="159">
        <f t="shared" si="3"/>
        <v>26.558750883984068</v>
      </c>
      <c r="J23" s="159">
        <f t="shared" si="3"/>
        <v>30.985209364648078</v>
      </c>
      <c r="K23" s="159">
        <f t="shared" si="3"/>
        <v>36.857644282328998</v>
      </c>
      <c r="L23" s="159">
        <f t="shared" si="3"/>
        <v>44.89904385553529</v>
      </c>
      <c r="M23" s="159">
        <f t="shared" si="3"/>
        <v>52.940443428741574</v>
      </c>
      <c r="N23" s="159">
        <f t="shared" si="3"/>
        <v>60.981843001947865</v>
      </c>
      <c r="O23" s="159">
        <f t="shared" si="3"/>
        <v>69.023242575154143</v>
      </c>
      <c r="P23" s="160">
        <f t="shared" si="3"/>
        <v>77.064642148360434</v>
      </c>
      <c r="Q23" s="161">
        <f t="shared" si="4"/>
        <v>461.08942506916782</v>
      </c>
      <c r="R23" s="162">
        <f t="shared" si="5"/>
        <v>922.17885013833563</v>
      </c>
      <c r="S23" s="162">
        <f t="shared" si="6"/>
        <v>1844.3577002766713</v>
      </c>
      <c r="T23" s="163">
        <f t="shared" si="7"/>
        <v>4610.8942506916783</v>
      </c>
      <c r="U23" s="164">
        <f t="shared" ref="U23:X41" si="8">((U$17-(U$17*$Z$11))*0.02)*$G23</f>
        <v>737.74308011066853</v>
      </c>
      <c r="V23" s="162">
        <f t="shared" si="8"/>
        <v>1475.4861602213371</v>
      </c>
      <c r="W23" s="162">
        <f t="shared" si="8"/>
        <v>2950.9723204426741</v>
      </c>
      <c r="X23" s="165">
        <f t="shared" si="8"/>
        <v>7377.4308011066851</v>
      </c>
      <c r="Z23" s="166"/>
    </row>
    <row r="24" spans="2:26">
      <c r="B24" s="136">
        <f t="shared" si="1"/>
        <v>2013</v>
      </c>
      <c r="C24" s="137">
        <f t="shared" si="1"/>
        <v>2014</v>
      </c>
      <c r="D24" s="146">
        <v>42036</v>
      </c>
      <c r="E24" s="94">
        <v>83428.548000000024</v>
      </c>
      <c r="F24" s="147">
        <f t="shared" ref="F24:F41" si="9">F23</f>
        <v>483606</v>
      </c>
      <c r="G24" s="140">
        <f t="shared" si="2"/>
        <v>0.17251346757484404</v>
      </c>
      <c r="H24" s="148">
        <f t="shared" si="3"/>
        <v>51.75404027245321</v>
      </c>
      <c r="I24" s="148">
        <f t="shared" si="3"/>
        <v>62.104848326943852</v>
      </c>
      <c r="J24" s="148">
        <f t="shared" si="3"/>
        <v>72.455656381434494</v>
      </c>
      <c r="K24" s="148">
        <f t="shared" si="3"/>
        <v>86.187728400392089</v>
      </c>
      <c r="L24" s="148">
        <f t="shared" si="3"/>
        <v>104.99169636605008</v>
      </c>
      <c r="M24" s="148">
        <f t="shared" si="3"/>
        <v>123.79566433170808</v>
      </c>
      <c r="N24" s="148">
        <f t="shared" si="3"/>
        <v>142.59963229736607</v>
      </c>
      <c r="O24" s="148">
        <f t="shared" si="3"/>
        <v>161.40360026302409</v>
      </c>
      <c r="P24" s="149">
        <f t="shared" si="3"/>
        <v>180.20756822868208</v>
      </c>
      <c r="Q24" s="144">
        <f t="shared" si="4"/>
        <v>1078.2091723427752</v>
      </c>
      <c r="R24" s="144">
        <f t="shared" si="5"/>
        <v>2156.4183446855504</v>
      </c>
      <c r="S24" s="144">
        <f t="shared" si="6"/>
        <v>4312.8366893711009</v>
      </c>
      <c r="T24" s="151">
        <f t="shared" si="7"/>
        <v>10782.091723427753</v>
      </c>
      <c r="U24" s="144">
        <f t="shared" si="8"/>
        <v>1725.1346757484403</v>
      </c>
      <c r="V24" s="144">
        <f t="shared" si="8"/>
        <v>3450.2693514968805</v>
      </c>
      <c r="W24" s="144">
        <f t="shared" si="8"/>
        <v>6900.538702993761</v>
      </c>
      <c r="X24" s="145">
        <f t="shared" si="8"/>
        <v>17251.346757484403</v>
      </c>
    </row>
    <row r="25" spans="2:26">
      <c r="B25" s="136">
        <f t="shared" si="1"/>
        <v>2014</v>
      </c>
      <c r="C25" s="137">
        <f t="shared" si="1"/>
        <v>2015</v>
      </c>
      <c r="D25" s="146">
        <v>42401</v>
      </c>
      <c r="E25" s="94">
        <v>87969.79800000001</v>
      </c>
      <c r="F25" s="147">
        <f t="shared" si="9"/>
        <v>483606</v>
      </c>
      <c r="G25" s="140">
        <f t="shared" si="2"/>
        <v>0.1819038597536011</v>
      </c>
      <c r="H25" s="148">
        <f t="shared" si="3"/>
        <v>54.571157926080332</v>
      </c>
      <c r="I25" s="148">
        <f t="shared" si="3"/>
        <v>65.48538951129639</v>
      </c>
      <c r="J25" s="148">
        <f t="shared" si="3"/>
        <v>76.399621096512462</v>
      </c>
      <c r="K25" s="148">
        <f t="shared" si="3"/>
        <v>90.879168332899113</v>
      </c>
      <c r="L25" s="148">
        <f t="shared" si="3"/>
        <v>110.70668904604163</v>
      </c>
      <c r="M25" s="148">
        <f t="shared" si="3"/>
        <v>130.53420975918417</v>
      </c>
      <c r="N25" s="148">
        <f t="shared" si="3"/>
        <v>150.36173047232668</v>
      </c>
      <c r="O25" s="148">
        <f t="shared" si="3"/>
        <v>170.1892511854692</v>
      </c>
      <c r="P25" s="149">
        <f t="shared" si="3"/>
        <v>190.01677189861169</v>
      </c>
      <c r="Q25" s="144">
        <f t="shared" si="4"/>
        <v>1136.8991234600069</v>
      </c>
      <c r="R25" s="144">
        <f t="shared" si="5"/>
        <v>2273.7982469200138</v>
      </c>
      <c r="S25" s="144">
        <f t="shared" si="6"/>
        <v>4547.5964938400275</v>
      </c>
      <c r="T25" s="151">
        <f t="shared" si="7"/>
        <v>11368.991234600069</v>
      </c>
      <c r="U25" s="144">
        <f t="shared" si="8"/>
        <v>1819.0385975360109</v>
      </c>
      <c r="V25" s="144">
        <f t="shared" si="8"/>
        <v>3638.0771950720218</v>
      </c>
      <c r="W25" s="144">
        <f t="shared" si="8"/>
        <v>7276.1543901440436</v>
      </c>
      <c r="X25" s="145">
        <f t="shared" si="8"/>
        <v>18190.38597536011</v>
      </c>
    </row>
    <row r="26" spans="2:26">
      <c r="B26" s="153">
        <f t="shared" si="1"/>
        <v>2015</v>
      </c>
      <c r="C26" s="154">
        <f t="shared" si="1"/>
        <v>2016</v>
      </c>
      <c r="D26" s="155">
        <v>42767</v>
      </c>
      <c r="E26" s="156">
        <v>86972.29800000001</v>
      </c>
      <c r="F26" s="157">
        <f t="shared" si="9"/>
        <v>483606</v>
      </c>
      <c r="G26" s="158">
        <f t="shared" si="2"/>
        <v>0.17984123025768914</v>
      </c>
      <c r="H26" s="159">
        <f t="shared" si="3"/>
        <v>53.952369077306741</v>
      </c>
      <c r="I26" s="159">
        <f t="shared" si="3"/>
        <v>64.742842892768095</v>
      </c>
      <c r="J26" s="159">
        <f t="shared" si="3"/>
        <v>75.533316708229435</v>
      </c>
      <c r="K26" s="159">
        <f t="shared" si="3"/>
        <v>89.848678636741496</v>
      </c>
      <c r="L26" s="159">
        <f t="shared" si="3"/>
        <v>109.45137273482962</v>
      </c>
      <c r="M26" s="159">
        <f t="shared" si="3"/>
        <v>129.05406683291773</v>
      </c>
      <c r="N26" s="159">
        <f t="shared" si="3"/>
        <v>148.65676093100583</v>
      </c>
      <c r="O26" s="159">
        <f t="shared" si="3"/>
        <v>168.25945502909397</v>
      </c>
      <c r="P26" s="160">
        <f t="shared" si="3"/>
        <v>187.86214912718205</v>
      </c>
      <c r="Q26" s="161">
        <f t="shared" si="4"/>
        <v>1124.0076891105571</v>
      </c>
      <c r="R26" s="162">
        <f t="shared" si="5"/>
        <v>2248.0153782211141</v>
      </c>
      <c r="S26" s="162">
        <f t="shared" si="6"/>
        <v>4496.0307564422283</v>
      </c>
      <c r="T26" s="163">
        <f t="shared" si="7"/>
        <v>11240.076891105571</v>
      </c>
      <c r="U26" s="162">
        <f t="shared" si="8"/>
        <v>1798.4123025768913</v>
      </c>
      <c r="V26" s="162">
        <f t="shared" si="8"/>
        <v>3596.8246051537826</v>
      </c>
      <c r="W26" s="162">
        <f t="shared" si="8"/>
        <v>7193.6492103075652</v>
      </c>
      <c r="X26" s="165">
        <f t="shared" si="8"/>
        <v>17984.123025768913</v>
      </c>
    </row>
    <row r="27" spans="2:26">
      <c r="B27" s="136">
        <f t="shared" si="1"/>
        <v>2016</v>
      </c>
      <c r="C27" s="137">
        <f t="shared" si="1"/>
        <v>2017</v>
      </c>
      <c r="D27" s="146">
        <v>43132</v>
      </c>
      <c r="E27" s="94">
        <v>85725.433000000019</v>
      </c>
      <c r="F27" s="147">
        <f t="shared" si="9"/>
        <v>483606</v>
      </c>
      <c r="G27" s="140">
        <f t="shared" si="2"/>
        <v>0.17726296406578912</v>
      </c>
      <c r="H27" s="148">
        <f t="shared" si="3"/>
        <v>53.178889219736739</v>
      </c>
      <c r="I27" s="148">
        <f t="shared" si="3"/>
        <v>63.814667063684084</v>
      </c>
      <c r="J27" s="148">
        <f t="shared" si="3"/>
        <v>74.450444907631436</v>
      </c>
      <c r="K27" s="148">
        <f t="shared" si="3"/>
        <v>88.560576847268251</v>
      </c>
      <c r="L27" s="148">
        <f t="shared" si="3"/>
        <v>107.88223993043927</v>
      </c>
      <c r="M27" s="148">
        <f t="shared" si="3"/>
        <v>127.20390301361027</v>
      </c>
      <c r="N27" s="148">
        <f t="shared" si="3"/>
        <v>146.52556609678129</v>
      </c>
      <c r="O27" s="148">
        <f t="shared" si="3"/>
        <v>165.84722917995231</v>
      </c>
      <c r="P27" s="149">
        <f t="shared" si="3"/>
        <v>185.1688922631233</v>
      </c>
      <c r="Q27" s="144">
        <f t="shared" si="4"/>
        <v>1107.8935254111821</v>
      </c>
      <c r="R27" s="144">
        <f t="shared" si="5"/>
        <v>2215.7870508223641</v>
      </c>
      <c r="S27" s="144">
        <f t="shared" si="6"/>
        <v>4431.5741016447282</v>
      </c>
      <c r="T27" s="151">
        <f t="shared" si="7"/>
        <v>11078.935254111821</v>
      </c>
      <c r="U27" s="144">
        <f t="shared" si="8"/>
        <v>1772.6296406578913</v>
      </c>
      <c r="V27" s="144">
        <f t="shared" si="8"/>
        <v>3545.2592813157826</v>
      </c>
      <c r="W27" s="144">
        <f t="shared" si="8"/>
        <v>7090.5185626315651</v>
      </c>
      <c r="X27" s="145">
        <f t="shared" si="8"/>
        <v>17726.296406578913</v>
      </c>
    </row>
    <row r="28" spans="2:26">
      <c r="B28" s="136">
        <f t="shared" si="1"/>
        <v>2017</v>
      </c>
      <c r="C28" s="137">
        <f t="shared" si="1"/>
        <v>2018</v>
      </c>
      <c r="D28" s="146">
        <v>43497</v>
      </c>
      <c r="E28" s="94">
        <v>84229.17300000001</v>
      </c>
      <c r="F28" s="147">
        <f t="shared" si="9"/>
        <v>483606</v>
      </c>
      <c r="G28" s="140">
        <f t="shared" si="2"/>
        <v>0.17416899914393125</v>
      </c>
      <c r="H28" s="148">
        <f t="shared" si="3"/>
        <v>52.250699743179375</v>
      </c>
      <c r="I28" s="148">
        <f t="shared" si="3"/>
        <v>62.700839691815247</v>
      </c>
      <c r="J28" s="148">
        <f t="shared" si="3"/>
        <v>73.150979640451126</v>
      </c>
      <c r="K28" s="148">
        <f t="shared" si="3"/>
        <v>87.014831972308059</v>
      </c>
      <c r="L28" s="148">
        <f t="shared" si="3"/>
        <v>105.99925287899656</v>
      </c>
      <c r="M28" s="148">
        <f t="shared" si="3"/>
        <v>124.98367378568507</v>
      </c>
      <c r="N28" s="148">
        <f t="shared" si="3"/>
        <v>143.96809469237357</v>
      </c>
      <c r="O28" s="148">
        <f t="shared" si="3"/>
        <v>162.95251559906208</v>
      </c>
      <c r="P28" s="149">
        <f t="shared" si="3"/>
        <v>181.93693650575057</v>
      </c>
      <c r="Q28" s="144">
        <f t="shared" si="4"/>
        <v>1088.5562446495703</v>
      </c>
      <c r="R28" s="144">
        <f t="shared" si="5"/>
        <v>2177.1124892991406</v>
      </c>
      <c r="S28" s="144">
        <f t="shared" si="6"/>
        <v>4354.2249785982813</v>
      </c>
      <c r="T28" s="151">
        <f t="shared" si="7"/>
        <v>10885.562446495704</v>
      </c>
      <c r="U28" s="144">
        <f t="shared" si="8"/>
        <v>1741.6899914393125</v>
      </c>
      <c r="V28" s="144">
        <f t="shared" si="8"/>
        <v>3483.379982878625</v>
      </c>
      <c r="W28" s="144">
        <f t="shared" si="8"/>
        <v>6966.75996575725</v>
      </c>
      <c r="X28" s="145">
        <f t="shared" si="8"/>
        <v>17416.899914393125</v>
      </c>
    </row>
    <row r="29" spans="2:26">
      <c r="B29" s="153">
        <f t="shared" si="1"/>
        <v>2018</v>
      </c>
      <c r="C29" s="154">
        <f t="shared" si="1"/>
        <v>2019</v>
      </c>
      <c r="D29" s="155">
        <v>43862</v>
      </c>
      <c r="E29" s="156">
        <v>87783.413000000015</v>
      </c>
      <c r="F29" s="157">
        <f t="shared" si="9"/>
        <v>483606</v>
      </c>
      <c r="G29" s="158">
        <f t="shared" si="2"/>
        <v>0.18151845303821709</v>
      </c>
      <c r="H29" s="159">
        <f t="shared" si="3"/>
        <v>54.455535911465127</v>
      </c>
      <c r="I29" s="159">
        <f t="shared" si="3"/>
        <v>65.346643093758146</v>
      </c>
      <c r="J29" s="159">
        <f t="shared" si="3"/>
        <v>76.237750276051173</v>
      </c>
      <c r="K29" s="159">
        <f t="shared" si="3"/>
        <v>90.68661913789326</v>
      </c>
      <c r="L29" s="159">
        <f t="shared" si="3"/>
        <v>110.47213051905892</v>
      </c>
      <c r="M29" s="159">
        <f t="shared" si="3"/>
        <v>130.2576419002246</v>
      </c>
      <c r="N29" s="159">
        <f t="shared" si="3"/>
        <v>150.04315328139026</v>
      </c>
      <c r="O29" s="159">
        <f t="shared" si="3"/>
        <v>169.82866466255592</v>
      </c>
      <c r="P29" s="160">
        <f t="shared" si="3"/>
        <v>189.61417604372156</v>
      </c>
      <c r="Q29" s="161">
        <f t="shared" si="4"/>
        <v>1134.4903314888568</v>
      </c>
      <c r="R29" s="162">
        <f t="shared" si="5"/>
        <v>2268.9806629777136</v>
      </c>
      <c r="S29" s="162">
        <f t="shared" si="6"/>
        <v>4537.9613259554271</v>
      </c>
      <c r="T29" s="163">
        <f t="shared" si="7"/>
        <v>11344.903314888568</v>
      </c>
      <c r="U29" s="162">
        <f t="shared" si="8"/>
        <v>1815.184530382171</v>
      </c>
      <c r="V29" s="162">
        <f t="shared" si="8"/>
        <v>3630.3690607643421</v>
      </c>
      <c r="W29" s="162">
        <f t="shared" si="8"/>
        <v>7260.7381215286841</v>
      </c>
      <c r="X29" s="165">
        <f t="shared" si="8"/>
        <v>18151.845303821709</v>
      </c>
    </row>
    <row r="30" spans="2:26">
      <c r="B30" s="136">
        <f t="shared" si="1"/>
        <v>2019</v>
      </c>
      <c r="C30" s="137">
        <f t="shared" si="1"/>
        <v>2020</v>
      </c>
      <c r="D30" s="146">
        <v>44228</v>
      </c>
      <c r="E30" s="94">
        <v>85788.413000000015</v>
      </c>
      <c r="F30" s="147">
        <f t="shared" si="9"/>
        <v>483606</v>
      </c>
      <c r="G30" s="140">
        <f t="shared" si="2"/>
        <v>0.17739319404639317</v>
      </c>
      <c r="H30" s="148">
        <f t="shared" si="3"/>
        <v>53.217958213917953</v>
      </c>
      <c r="I30" s="148">
        <f t="shared" si="3"/>
        <v>63.861549856701544</v>
      </c>
      <c r="J30" s="148">
        <f t="shared" si="3"/>
        <v>74.505141499485134</v>
      </c>
      <c r="K30" s="148">
        <f t="shared" si="3"/>
        <v>88.625639745578027</v>
      </c>
      <c r="L30" s="148">
        <f t="shared" si="3"/>
        <v>107.96149789663488</v>
      </c>
      <c r="M30" s="148">
        <f t="shared" si="3"/>
        <v>127.29735604769175</v>
      </c>
      <c r="N30" s="148">
        <f t="shared" si="3"/>
        <v>146.63321419874859</v>
      </c>
      <c r="O30" s="148">
        <f t="shared" si="3"/>
        <v>165.96907234980546</v>
      </c>
      <c r="P30" s="149">
        <f t="shared" si="3"/>
        <v>185.3049305008623</v>
      </c>
      <c r="Q30" s="144">
        <f t="shared" si="4"/>
        <v>1108.7074627899574</v>
      </c>
      <c r="R30" s="144">
        <f t="shared" si="5"/>
        <v>2217.4149255799148</v>
      </c>
      <c r="S30" s="144">
        <f t="shared" si="6"/>
        <v>4434.8298511598296</v>
      </c>
      <c r="T30" s="151">
        <f t="shared" si="7"/>
        <v>11087.074627899574</v>
      </c>
      <c r="U30" s="144">
        <f t="shared" si="8"/>
        <v>1773.9319404639318</v>
      </c>
      <c r="V30" s="144">
        <f t="shared" si="8"/>
        <v>3547.8638809278636</v>
      </c>
      <c r="W30" s="144">
        <f t="shared" si="8"/>
        <v>7095.7277618557273</v>
      </c>
      <c r="X30" s="145">
        <f t="shared" si="8"/>
        <v>17739.319404639318</v>
      </c>
    </row>
    <row r="31" spans="2:26">
      <c r="B31" s="136">
        <f t="shared" si="1"/>
        <v>2020</v>
      </c>
      <c r="C31" s="137">
        <f t="shared" si="1"/>
        <v>2021</v>
      </c>
      <c r="D31" s="146">
        <v>44593</v>
      </c>
      <c r="E31" s="94">
        <v>83635.91300000003</v>
      </c>
      <c r="F31" s="147">
        <f t="shared" si="9"/>
        <v>483606</v>
      </c>
      <c r="G31" s="140">
        <f t="shared" si="2"/>
        <v>0.1729422567131095</v>
      </c>
      <c r="H31" s="148">
        <f t="shared" si="3"/>
        <v>51.882677013932849</v>
      </c>
      <c r="I31" s="148">
        <f t="shared" si="3"/>
        <v>62.259212416719421</v>
      </c>
      <c r="J31" s="148">
        <f t="shared" si="3"/>
        <v>72.635747819505994</v>
      </c>
      <c r="K31" s="148">
        <f t="shared" si="3"/>
        <v>86.401951453869515</v>
      </c>
      <c r="L31" s="148">
        <f t="shared" si="3"/>
        <v>105.25265743559845</v>
      </c>
      <c r="M31" s="148">
        <f t="shared" si="3"/>
        <v>124.10336341732739</v>
      </c>
      <c r="N31" s="148">
        <f t="shared" si="3"/>
        <v>142.95406939905632</v>
      </c>
      <c r="O31" s="148">
        <f t="shared" si="3"/>
        <v>161.80477538078526</v>
      </c>
      <c r="P31" s="149">
        <f t="shared" si="3"/>
        <v>180.65548136251417</v>
      </c>
      <c r="Q31" s="144">
        <f t="shared" si="4"/>
        <v>1080.8891044569343</v>
      </c>
      <c r="R31" s="144">
        <f t="shared" si="5"/>
        <v>2161.7782089138686</v>
      </c>
      <c r="S31" s="144">
        <f t="shared" si="6"/>
        <v>4323.5564178277373</v>
      </c>
      <c r="T31" s="151">
        <f t="shared" si="7"/>
        <v>10808.891044569344</v>
      </c>
      <c r="U31" s="144">
        <f t="shared" si="8"/>
        <v>1729.4225671310951</v>
      </c>
      <c r="V31" s="144">
        <f t="shared" si="8"/>
        <v>3458.8451342621902</v>
      </c>
      <c r="W31" s="144">
        <f t="shared" si="8"/>
        <v>6917.6902685243804</v>
      </c>
      <c r="X31" s="145">
        <f t="shared" si="8"/>
        <v>17294.225671310949</v>
      </c>
    </row>
    <row r="32" spans="2:26">
      <c r="B32" s="153">
        <f t="shared" si="1"/>
        <v>2021</v>
      </c>
      <c r="C32" s="154">
        <f t="shared" si="1"/>
        <v>2022</v>
      </c>
      <c r="D32" s="155">
        <v>44958</v>
      </c>
      <c r="E32" s="156">
        <v>86575.923000000024</v>
      </c>
      <c r="F32" s="157">
        <f t="shared" si="9"/>
        <v>483606</v>
      </c>
      <c r="G32" s="158">
        <f t="shared" si="2"/>
        <v>0.17902160643168205</v>
      </c>
      <c r="H32" s="159">
        <f t="shared" si="3"/>
        <v>53.706481929504612</v>
      </c>
      <c r="I32" s="159">
        <f t="shared" si="3"/>
        <v>64.447778315405543</v>
      </c>
      <c r="J32" s="159">
        <f t="shared" si="3"/>
        <v>75.189074701306467</v>
      </c>
      <c r="K32" s="159">
        <f t="shared" si="3"/>
        <v>89.439194573268352</v>
      </c>
      <c r="L32" s="159">
        <f t="shared" si="3"/>
        <v>108.9525496743217</v>
      </c>
      <c r="M32" s="159">
        <f t="shared" si="3"/>
        <v>128.46590477537504</v>
      </c>
      <c r="N32" s="159">
        <f t="shared" si="3"/>
        <v>147.97925987642839</v>
      </c>
      <c r="O32" s="159">
        <f t="shared" si="3"/>
        <v>167.49261497748174</v>
      </c>
      <c r="P32" s="160">
        <f t="shared" si="3"/>
        <v>187.00597007853506</v>
      </c>
      <c r="Q32" s="161">
        <f t="shared" si="4"/>
        <v>1118.8850401980128</v>
      </c>
      <c r="R32" s="162">
        <f t="shared" si="5"/>
        <v>2237.7700803960256</v>
      </c>
      <c r="S32" s="162">
        <f t="shared" si="6"/>
        <v>4475.5401607920512</v>
      </c>
      <c r="T32" s="163">
        <f t="shared" si="7"/>
        <v>11188.850401980128</v>
      </c>
      <c r="U32" s="162">
        <f t="shared" si="8"/>
        <v>1790.2160643168206</v>
      </c>
      <c r="V32" s="162">
        <f t="shared" si="8"/>
        <v>3580.4321286336412</v>
      </c>
      <c r="W32" s="162">
        <f t="shared" si="8"/>
        <v>7160.8642572672825</v>
      </c>
      <c r="X32" s="165">
        <f t="shared" si="8"/>
        <v>17902.160643168205</v>
      </c>
    </row>
    <row r="33" spans="2:24">
      <c r="B33" s="136">
        <f t="shared" si="1"/>
        <v>2022</v>
      </c>
      <c r="C33" s="137">
        <f t="shared" si="1"/>
        <v>2023</v>
      </c>
      <c r="D33" s="146">
        <v>45323</v>
      </c>
      <c r="E33" s="94">
        <v>83929.92300000001</v>
      </c>
      <c r="F33" s="147">
        <f t="shared" si="9"/>
        <v>483606</v>
      </c>
      <c r="G33" s="140">
        <f t="shared" si="2"/>
        <v>0.17355021029515766</v>
      </c>
      <c r="H33" s="148">
        <f t="shared" si="3"/>
        <v>52.065063088547298</v>
      </c>
      <c r="I33" s="148">
        <f t="shared" si="3"/>
        <v>62.47807570625676</v>
      </c>
      <c r="J33" s="148">
        <f t="shared" si="3"/>
        <v>72.891088323966216</v>
      </c>
      <c r="K33" s="148">
        <f t="shared" si="3"/>
        <v>86.705685063460777</v>
      </c>
      <c r="L33" s="148">
        <f t="shared" si="3"/>
        <v>105.62265798563296</v>
      </c>
      <c r="M33" s="148">
        <f t="shared" si="3"/>
        <v>124.53963090780513</v>
      </c>
      <c r="N33" s="148">
        <f t="shared" si="3"/>
        <v>143.45660382997733</v>
      </c>
      <c r="O33" s="148">
        <f t="shared" si="3"/>
        <v>162.37357675214952</v>
      </c>
      <c r="P33" s="149">
        <f t="shared" si="3"/>
        <v>181.29054967432168</v>
      </c>
      <c r="Q33" s="144">
        <f t="shared" si="4"/>
        <v>1084.6888143447354</v>
      </c>
      <c r="R33" s="144">
        <f t="shared" si="5"/>
        <v>2169.3776286894708</v>
      </c>
      <c r="S33" s="144">
        <f t="shared" si="6"/>
        <v>4338.7552573789417</v>
      </c>
      <c r="T33" s="151">
        <f t="shared" si="7"/>
        <v>10846.888143447353</v>
      </c>
      <c r="U33" s="144">
        <f t="shared" si="8"/>
        <v>1735.5021029515765</v>
      </c>
      <c r="V33" s="144">
        <f t="shared" si="8"/>
        <v>3471.004205903153</v>
      </c>
      <c r="W33" s="144">
        <f t="shared" si="8"/>
        <v>6942.008411806306</v>
      </c>
      <c r="X33" s="145">
        <f t="shared" si="8"/>
        <v>17355.021029515767</v>
      </c>
    </row>
    <row r="34" spans="2:24">
      <c r="B34" s="136">
        <f t="shared" si="1"/>
        <v>2023</v>
      </c>
      <c r="C34" s="137">
        <f t="shared" si="1"/>
        <v>2024</v>
      </c>
      <c r="D34" s="146">
        <v>45689</v>
      </c>
      <c r="E34" s="94">
        <v>86423.67300000001</v>
      </c>
      <c r="F34" s="147">
        <f t="shared" si="9"/>
        <v>483606</v>
      </c>
      <c r="G34" s="140">
        <f t="shared" si="2"/>
        <v>0.17870678403493756</v>
      </c>
      <c r="H34" s="148">
        <f t="shared" si="3"/>
        <v>53.612035210481267</v>
      </c>
      <c r="I34" s="148">
        <f t="shared" si="3"/>
        <v>64.334442252577517</v>
      </c>
      <c r="J34" s="148">
        <f t="shared" si="3"/>
        <v>75.056849294673782</v>
      </c>
      <c r="K34" s="148">
        <f t="shared" si="3"/>
        <v>89.281909303854803</v>
      </c>
      <c r="L34" s="148">
        <f t="shared" si="3"/>
        <v>108.76094876366301</v>
      </c>
      <c r="M34" s="148">
        <f t="shared" si="3"/>
        <v>128.23998822347119</v>
      </c>
      <c r="N34" s="148">
        <f t="shared" si="3"/>
        <v>147.71902768327939</v>
      </c>
      <c r="O34" s="148">
        <f t="shared" si="3"/>
        <v>167.1980671430876</v>
      </c>
      <c r="P34" s="149">
        <f t="shared" si="3"/>
        <v>186.67710660289575</v>
      </c>
      <c r="Q34" s="144">
        <f t="shared" si="4"/>
        <v>1116.9174002183597</v>
      </c>
      <c r="R34" s="144">
        <f t="shared" si="5"/>
        <v>2233.8348004367194</v>
      </c>
      <c r="S34" s="144">
        <f t="shared" si="6"/>
        <v>4467.6696008734389</v>
      </c>
      <c r="T34" s="151">
        <f t="shared" si="7"/>
        <v>11169.174002183598</v>
      </c>
      <c r="U34" s="144">
        <f t="shared" si="8"/>
        <v>1787.0678403493755</v>
      </c>
      <c r="V34" s="144">
        <f t="shared" si="8"/>
        <v>3574.135680698751</v>
      </c>
      <c r="W34" s="144">
        <f t="shared" si="8"/>
        <v>7148.271361397502</v>
      </c>
      <c r="X34" s="145">
        <f t="shared" si="8"/>
        <v>17870.678403493755</v>
      </c>
    </row>
    <row r="35" spans="2:24">
      <c r="B35" s="153">
        <f t="shared" si="1"/>
        <v>2024</v>
      </c>
      <c r="C35" s="154">
        <f t="shared" si="1"/>
        <v>2025</v>
      </c>
      <c r="D35" s="155">
        <v>46054</v>
      </c>
      <c r="E35" s="156">
        <v>88641.79800000001</v>
      </c>
      <c r="F35" s="157">
        <f t="shared" si="9"/>
        <v>483606</v>
      </c>
      <c r="G35" s="158">
        <f t="shared" si="2"/>
        <v>0.18329342067716284</v>
      </c>
      <c r="H35" s="159">
        <f t="shared" si="3"/>
        <v>54.988026203148848</v>
      </c>
      <c r="I35" s="159">
        <f t="shared" si="3"/>
        <v>65.985631443778615</v>
      </c>
      <c r="J35" s="159">
        <f t="shared" si="3"/>
        <v>76.983236684408396</v>
      </c>
      <c r="K35" s="159">
        <f t="shared" si="3"/>
        <v>91.573392970310564</v>
      </c>
      <c r="L35" s="159">
        <f t="shared" si="3"/>
        <v>111.55237582412131</v>
      </c>
      <c r="M35" s="159">
        <f t="shared" si="3"/>
        <v>131.53135867793205</v>
      </c>
      <c r="N35" s="159">
        <f t="shared" si="3"/>
        <v>151.5103415317428</v>
      </c>
      <c r="O35" s="159">
        <f t="shared" si="3"/>
        <v>171.48932438555354</v>
      </c>
      <c r="P35" s="160">
        <f t="shared" si="3"/>
        <v>191.46830723936429</v>
      </c>
      <c r="Q35" s="161">
        <f t="shared" si="4"/>
        <v>1145.5838792322677</v>
      </c>
      <c r="R35" s="162">
        <f t="shared" si="5"/>
        <v>2291.1677584645354</v>
      </c>
      <c r="S35" s="162">
        <f t="shared" si="6"/>
        <v>4582.3355169290708</v>
      </c>
      <c r="T35" s="163">
        <f t="shared" si="7"/>
        <v>11455.838792322678</v>
      </c>
      <c r="U35" s="162">
        <f t="shared" si="8"/>
        <v>1832.9342067716284</v>
      </c>
      <c r="V35" s="162">
        <f t="shared" si="8"/>
        <v>3665.8684135432568</v>
      </c>
      <c r="W35" s="162">
        <f t="shared" si="8"/>
        <v>7331.7368270865136</v>
      </c>
      <c r="X35" s="165">
        <f t="shared" si="8"/>
        <v>18329.342067716283</v>
      </c>
    </row>
    <row r="36" spans="2:24">
      <c r="B36" s="136">
        <f t="shared" si="1"/>
        <v>2025</v>
      </c>
      <c r="C36" s="137">
        <f t="shared" si="1"/>
        <v>2026</v>
      </c>
      <c r="D36" s="146">
        <v>46419</v>
      </c>
      <c r="E36" s="94">
        <v>85321.16300000003</v>
      </c>
      <c r="F36" s="147">
        <f t="shared" si="9"/>
        <v>483606</v>
      </c>
      <c r="G36" s="140">
        <f t="shared" si="2"/>
        <v>0.17642701496672916</v>
      </c>
      <c r="H36" s="148">
        <f t="shared" si="3"/>
        <v>52.928104490018747</v>
      </c>
      <c r="I36" s="148">
        <f t="shared" si="3"/>
        <v>63.5137253880225</v>
      </c>
      <c r="J36" s="148">
        <f t="shared" si="3"/>
        <v>74.099346286026247</v>
      </c>
      <c r="K36" s="148">
        <f t="shared" si="3"/>
        <v>88.14293667737789</v>
      </c>
      <c r="L36" s="148">
        <f t="shared" si="3"/>
        <v>107.37348130875137</v>
      </c>
      <c r="M36" s="148">
        <f t="shared" si="3"/>
        <v>126.60402594012486</v>
      </c>
      <c r="N36" s="148">
        <f t="shared" si="3"/>
        <v>145.83457057149832</v>
      </c>
      <c r="O36" s="148">
        <f t="shared" si="3"/>
        <v>165.06511520287179</v>
      </c>
      <c r="P36" s="149">
        <f t="shared" si="3"/>
        <v>184.29565983424527</v>
      </c>
      <c r="Q36" s="144">
        <f t="shared" si="4"/>
        <v>1102.6688435420572</v>
      </c>
      <c r="R36" s="144">
        <f t="shared" si="5"/>
        <v>2205.3376870841144</v>
      </c>
      <c r="S36" s="144">
        <f t="shared" si="6"/>
        <v>4410.6753741682287</v>
      </c>
      <c r="T36" s="151">
        <f t="shared" si="7"/>
        <v>11026.688435420572</v>
      </c>
      <c r="U36" s="144">
        <f t="shared" si="8"/>
        <v>1764.2701496672917</v>
      </c>
      <c r="V36" s="144">
        <f t="shared" si="8"/>
        <v>3528.5402993345833</v>
      </c>
      <c r="W36" s="144">
        <f t="shared" si="8"/>
        <v>7057.0805986691666</v>
      </c>
      <c r="X36" s="145">
        <f t="shared" si="8"/>
        <v>17642.701496672915</v>
      </c>
    </row>
    <row r="37" spans="2:24">
      <c r="B37" s="136">
        <f t="shared" si="1"/>
        <v>2026</v>
      </c>
      <c r="C37" s="137">
        <f t="shared" si="1"/>
        <v>2027</v>
      </c>
      <c r="D37" s="146">
        <v>46784</v>
      </c>
      <c r="E37" s="94">
        <v>87099.59</v>
      </c>
      <c r="F37" s="147">
        <f t="shared" si="9"/>
        <v>483606</v>
      </c>
      <c r="G37" s="140">
        <f t="shared" si="2"/>
        <v>0.1801044445271564</v>
      </c>
      <c r="H37" s="148">
        <f t="shared" si="3"/>
        <v>54.031333358146924</v>
      </c>
      <c r="I37" s="148">
        <f t="shared" si="3"/>
        <v>64.837600029776311</v>
      </c>
      <c r="J37" s="148">
        <f t="shared" si="3"/>
        <v>75.643866701405685</v>
      </c>
      <c r="K37" s="148">
        <f t="shared" si="3"/>
        <v>89.980180485767349</v>
      </c>
      <c r="L37" s="148">
        <f t="shared" si="3"/>
        <v>109.61156493922739</v>
      </c>
      <c r="M37" s="148">
        <f t="shared" si="3"/>
        <v>129.24294939268745</v>
      </c>
      <c r="N37" s="148">
        <f t="shared" si="3"/>
        <v>148.87433384614749</v>
      </c>
      <c r="O37" s="148">
        <f t="shared" si="3"/>
        <v>168.50571829960754</v>
      </c>
      <c r="P37" s="149">
        <f t="shared" si="3"/>
        <v>188.13710275306755</v>
      </c>
      <c r="Q37" s="144">
        <f t="shared" si="4"/>
        <v>1125.6527782947276</v>
      </c>
      <c r="R37" s="144">
        <f t="shared" si="5"/>
        <v>2251.3055565894551</v>
      </c>
      <c r="S37" s="144">
        <f t="shared" si="6"/>
        <v>4502.6111131789103</v>
      </c>
      <c r="T37" s="151">
        <f t="shared" si="7"/>
        <v>11256.527782947276</v>
      </c>
      <c r="U37" s="144">
        <f t="shared" si="8"/>
        <v>1801.044445271564</v>
      </c>
      <c r="V37" s="144">
        <f t="shared" si="8"/>
        <v>3602.0888905431279</v>
      </c>
      <c r="W37" s="144">
        <f t="shared" si="8"/>
        <v>7204.1777810862559</v>
      </c>
      <c r="X37" s="145">
        <f t="shared" si="8"/>
        <v>18010.444452715641</v>
      </c>
    </row>
    <row r="38" spans="2:24">
      <c r="B38" s="153">
        <f t="shared" ref="B38:C41" si="10">B37+1</f>
        <v>2027</v>
      </c>
      <c r="C38" s="154">
        <f t="shared" si="10"/>
        <v>2028</v>
      </c>
      <c r="D38" s="155">
        <v>47150</v>
      </c>
      <c r="E38" s="156">
        <v>88569.59</v>
      </c>
      <c r="F38" s="157">
        <f t="shared" si="9"/>
        <v>483606</v>
      </c>
      <c r="G38" s="158">
        <f t="shared" si="2"/>
        <v>0.18314410904744771</v>
      </c>
      <c r="H38" s="159">
        <f t="shared" ref="H38:P44" si="11">((0.01*MIN((H$15-MAX(0,(0.4*MIN(H$15,76000))-(0.09*MAX(0,H$15-76000)))),500000))+(0.0125*MAX(0,(H$15-MAX(0,(0.4*MIN(H$15,76000))-(0.09*MAX(0,H$15-76000))))-500000)))*$G38</f>
        <v>54.943232714234313</v>
      </c>
      <c r="I38" s="159">
        <f t="shared" si="11"/>
        <v>65.931879257081178</v>
      </c>
      <c r="J38" s="159">
        <f t="shared" si="11"/>
        <v>76.920525799928043</v>
      </c>
      <c r="K38" s="159">
        <f t="shared" si="11"/>
        <v>91.498796880104877</v>
      </c>
      <c r="L38" s="159">
        <f t="shared" si="11"/>
        <v>111.46150476627668</v>
      </c>
      <c r="M38" s="159">
        <f t="shared" si="11"/>
        <v>131.42421265244849</v>
      </c>
      <c r="N38" s="159">
        <f t="shared" si="11"/>
        <v>151.38692053862027</v>
      </c>
      <c r="O38" s="159">
        <f t="shared" si="11"/>
        <v>171.34962842479209</v>
      </c>
      <c r="P38" s="160">
        <f t="shared" si="11"/>
        <v>191.31233631096387</v>
      </c>
      <c r="Q38" s="161">
        <f t="shared" si="4"/>
        <v>1144.6506815465482</v>
      </c>
      <c r="R38" s="162">
        <f t="shared" si="5"/>
        <v>2289.3013630930964</v>
      </c>
      <c r="S38" s="162">
        <f t="shared" si="6"/>
        <v>4578.6027261861927</v>
      </c>
      <c r="T38" s="163">
        <f t="shared" si="7"/>
        <v>11446.506815465482</v>
      </c>
      <c r="U38" s="162">
        <f t="shared" si="8"/>
        <v>1831.4410904744771</v>
      </c>
      <c r="V38" s="162">
        <f t="shared" si="8"/>
        <v>3662.8821809489541</v>
      </c>
      <c r="W38" s="162">
        <f t="shared" si="8"/>
        <v>7325.7643618979082</v>
      </c>
      <c r="X38" s="165">
        <f t="shared" si="8"/>
        <v>18314.410904744771</v>
      </c>
    </row>
    <row r="39" spans="2:24" hidden="1">
      <c r="B39" s="136">
        <f t="shared" si="10"/>
        <v>2028</v>
      </c>
      <c r="C39" s="137">
        <f t="shared" si="10"/>
        <v>2029</v>
      </c>
      <c r="D39" s="146">
        <v>47515</v>
      </c>
      <c r="E39" s="94">
        <v>0</v>
      </c>
      <c r="F39" s="147">
        <f t="shared" si="9"/>
        <v>483606</v>
      </c>
      <c r="G39" s="140">
        <f t="shared" si="2"/>
        <v>0</v>
      </c>
      <c r="H39" s="148">
        <f t="shared" ref="H39:P41" si="12">((0.01*MIN((H$17-MAX(0,(0.4*MIN(H$17,76000))-(0.09*MAX(0,H$17-76000)))),500000))+(0.0125*MAX(0,(H$17-MAX(0,(0.4*MIN(H$17,76000))-(0.09*MAX(0,H$17-76000))))-500000)))*$G39</f>
        <v>0</v>
      </c>
      <c r="I39" s="148">
        <f t="shared" si="12"/>
        <v>0</v>
      </c>
      <c r="J39" s="148">
        <f t="shared" si="12"/>
        <v>0</v>
      </c>
      <c r="K39" s="148">
        <f t="shared" si="12"/>
        <v>0</v>
      </c>
      <c r="L39" s="148">
        <f t="shared" si="12"/>
        <v>0</v>
      </c>
      <c r="M39" s="148">
        <f t="shared" si="12"/>
        <v>0</v>
      </c>
      <c r="N39" s="148">
        <f t="shared" si="12"/>
        <v>0</v>
      </c>
      <c r="O39" s="148">
        <f t="shared" si="12"/>
        <v>0</v>
      </c>
      <c r="P39" s="149">
        <f t="shared" si="12"/>
        <v>0</v>
      </c>
      <c r="Q39" s="144">
        <f t="shared" si="4"/>
        <v>0</v>
      </c>
      <c r="R39" s="144">
        <f t="shared" si="5"/>
        <v>0</v>
      </c>
      <c r="S39" s="144">
        <f t="shared" si="6"/>
        <v>0</v>
      </c>
      <c r="T39" s="151">
        <f t="shared" si="7"/>
        <v>0</v>
      </c>
      <c r="U39" s="144">
        <f t="shared" si="8"/>
        <v>0</v>
      </c>
      <c r="V39" s="144">
        <f t="shared" si="8"/>
        <v>0</v>
      </c>
      <c r="W39" s="144">
        <f t="shared" si="8"/>
        <v>0</v>
      </c>
      <c r="X39" s="145">
        <f t="shared" si="8"/>
        <v>0</v>
      </c>
    </row>
    <row r="40" spans="2:24" hidden="1">
      <c r="B40" s="136">
        <f t="shared" si="10"/>
        <v>2029</v>
      </c>
      <c r="C40" s="137">
        <f t="shared" si="10"/>
        <v>2030</v>
      </c>
      <c r="D40" s="146">
        <v>47880</v>
      </c>
      <c r="E40" s="94">
        <v>0</v>
      </c>
      <c r="F40" s="147">
        <f t="shared" si="9"/>
        <v>483606</v>
      </c>
      <c r="G40" s="140">
        <f t="shared" si="2"/>
        <v>0</v>
      </c>
      <c r="H40" s="148">
        <f t="shared" si="12"/>
        <v>0</v>
      </c>
      <c r="I40" s="148">
        <f t="shared" si="12"/>
        <v>0</v>
      </c>
      <c r="J40" s="148">
        <f t="shared" si="12"/>
        <v>0</v>
      </c>
      <c r="K40" s="148">
        <f t="shared" si="12"/>
        <v>0</v>
      </c>
      <c r="L40" s="148">
        <f t="shared" si="12"/>
        <v>0</v>
      </c>
      <c r="M40" s="148">
        <f t="shared" si="12"/>
        <v>0</v>
      </c>
      <c r="N40" s="148">
        <f t="shared" si="12"/>
        <v>0</v>
      </c>
      <c r="O40" s="148">
        <f t="shared" si="12"/>
        <v>0</v>
      </c>
      <c r="P40" s="149">
        <f t="shared" si="12"/>
        <v>0</v>
      </c>
      <c r="Q40" s="144">
        <f t="shared" si="4"/>
        <v>0</v>
      </c>
      <c r="R40" s="144">
        <f t="shared" si="5"/>
        <v>0</v>
      </c>
      <c r="S40" s="144">
        <f t="shared" si="6"/>
        <v>0</v>
      </c>
      <c r="T40" s="151">
        <f t="shared" si="7"/>
        <v>0</v>
      </c>
      <c r="U40" s="144">
        <f t="shared" si="8"/>
        <v>0</v>
      </c>
      <c r="V40" s="144">
        <f t="shared" si="8"/>
        <v>0</v>
      </c>
      <c r="W40" s="144">
        <f t="shared" si="8"/>
        <v>0</v>
      </c>
      <c r="X40" s="145">
        <f t="shared" si="8"/>
        <v>0</v>
      </c>
    </row>
    <row r="41" spans="2:24" hidden="1">
      <c r="B41" s="136">
        <f t="shared" si="10"/>
        <v>2030</v>
      </c>
      <c r="C41" s="137">
        <f t="shared" si="10"/>
        <v>2031</v>
      </c>
      <c r="D41" s="146">
        <v>48246</v>
      </c>
      <c r="E41" s="94">
        <v>0</v>
      </c>
      <c r="F41" s="147">
        <f t="shared" si="9"/>
        <v>483606</v>
      </c>
      <c r="G41" s="140">
        <f t="shared" si="2"/>
        <v>0</v>
      </c>
      <c r="H41" s="148">
        <f t="shared" si="12"/>
        <v>0</v>
      </c>
      <c r="I41" s="148">
        <f t="shared" si="12"/>
        <v>0</v>
      </c>
      <c r="J41" s="148">
        <f t="shared" si="12"/>
        <v>0</v>
      </c>
      <c r="K41" s="148">
        <f t="shared" si="12"/>
        <v>0</v>
      </c>
      <c r="L41" s="148">
        <f t="shared" si="12"/>
        <v>0</v>
      </c>
      <c r="M41" s="148">
        <f t="shared" si="12"/>
        <v>0</v>
      </c>
      <c r="N41" s="148">
        <f t="shared" si="12"/>
        <v>0</v>
      </c>
      <c r="O41" s="148">
        <f t="shared" si="12"/>
        <v>0</v>
      </c>
      <c r="P41" s="149">
        <f t="shared" si="12"/>
        <v>0</v>
      </c>
      <c r="Q41" s="144">
        <f t="shared" si="4"/>
        <v>0</v>
      </c>
      <c r="R41" s="144">
        <f t="shared" si="5"/>
        <v>0</v>
      </c>
      <c r="S41" s="144">
        <f t="shared" si="6"/>
        <v>0</v>
      </c>
      <c r="T41" s="151">
        <f t="shared" si="7"/>
        <v>0</v>
      </c>
      <c r="U41" s="144">
        <f t="shared" si="8"/>
        <v>0</v>
      </c>
      <c r="V41" s="144">
        <f t="shared" si="8"/>
        <v>0</v>
      </c>
      <c r="W41" s="144">
        <f t="shared" si="8"/>
        <v>0</v>
      </c>
      <c r="X41" s="145">
        <f t="shared" si="8"/>
        <v>0</v>
      </c>
    </row>
    <row r="42" spans="2:24" hidden="1">
      <c r="B42" s="93"/>
      <c r="C42" s="94"/>
      <c r="D42" s="94"/>
      <c r="E42" s="94"/>
      <c r="F42" s="94"/>
      <c r="G42" s="95"/>
      <c r="H42" s="102"/>
      <c r="I42" s="94"/>
      <c r="J42" s="94"/>
      <c r="K42" s="94"/>
      <c r="L42" s="94"/>
      <c r="M42" s="94"/>
      <c r="N42" s="94"/>
      <c r="O42" s="94"/>
      <c r="P42" s="131"/>
      <c r="Q42" s="167"/>
      <c r="R42" s="167"/>
      <c r="S42" s="167"/>
      <c r="T42" s="168"/>
      <c r="U42" s="134"/>
      <c r="V42" s="134"/>
      <c r="W42" s="134"/>
      <c r="X42" s="169"/>
    </row>
    <row r="43" spans="2:24" hidden="1">
      <c r="B43" s="93"/>
      <c r="C43" s="94"/>
      <c r="D43" s="94"/>
      <c r="E43" s="94"/>
      <c r="F43" s="94"/>
      <c r="G43" s="95"/>
      <c r="H43" s="102"/>
      <c r="I43" s="94"/>
      <c r="J43" s="94"/>
      <c r="K43" s="94"/>
      <c r="L43" s="94"/>
      <c r="M43" s="94"/>
      <c r="N43" s="94"/>
      <c r="O43" s="94"/>
      <c r="P43" s="131"/>
      <c r="Q43" s="167"/>
      <c r="R43" s="167"/>
      <c r="S43" s="167"/>
      <c r="T43" s="168"/>
      <c r="U43" s="134"/>
      <c r="V43" s="134"/>
      <c r="W43" s="134"/>
      <c r="X43" s="169"/>
    </row>
    <row r="44" spans="2:24" hidden="1">
      <c r="B44" s="93"/>
      <c r="C44" s="94"/>
      <c r="D44" s="94"/>
      <c r="E44" s="94"/>
      <c r="F44" s="94"/>
      <c r="G44" s="95"/>
      <c r="H44" s="102"/>
      <c r="I44" s="94"/>
      <c r="J44" s="94"/>
      <c r="K44" s="94"/>
      <c r="L44" s="94"/>
      <c r="M44" s="94"/>
      <c r="N44" s="94"/>
      <c r="O44" s="94"/>
      <c r="P44" s="131"/>
      <c r="Q44" s="167"/>
      <c r="R44" s="167"/>
      <c r="S44" s="167"/>
      <c r="T44" s="168"/>
      <c r="U44" s="134"/>
      <c r="V44" s="134"/>
      <c r="W44" s="134"/>
      <c r="X44" s="169"/>
    </row>
    <row r="45" spans="2:24" hidden="1">
      <c r="B45" s="93"/>
      <c r="C45" s="94"/>
      <c r="D45" s="94"/>
      <c r="E45" s="94"/>
      <c r="F45" s="94"/>
      <c r="G45" s="95"/>
      <c r="H45" s="102"/>
      <c r="I45" s="94"/>
      <c r="J45" s="94"/>
      <c r="K45" s="94"/>
      <c r="L45" s="94"/>
      <c r="M45" s="94"/>
      <c r="N45" s="94"/>
      <c r="O45" s="94"/>
      <c r="P45" s="131"/>
      <c r="Q45" s="167"/>
      <c r="R45" s="167"/>
      <c r="S45" s="167"/>
      <c r="T45" s="168"/>
      <c r="U45" s="134"/>
      <c r="V45" s="134"/>
      <c r="W45" s="134"/>
      <c r="X45" s="169"/>
    </row>
    <row r="46" spans="2:24" hidden="1">
      <c r="B46" s="93"/>
      <c r="C46" s="94"/>
      <c r="D46" s="94"/>
      <c r="E46" s="94"/>
      <c r="F46" s="94"/>
      <c r="G46" s="95"/>
      <c r="H46" s="102"/>
      <c r="I46" s="94"/>
      <c r="J46" s="94"/>
      <c r="K46" s="94"/>
      <c r="L46" s="94"/>
      <c r="M46" s="94"/>
      <c r="N46" s="94"/>
      <c r="O46" s="94"/>
      <c r="P46" s="131"/>
      <c r="Q46" s="167"/>
      <c r="R46" s="167"/>
      <c r="S46" s="167"/>
      <c r="T46" s="168"/>
      <c r="U46" s="134"/>
      <c r="V46" s="134"/>
      <c r="W46" s="134"/>
      <c r="X46" s="169"/>
    </row>
    <row r="47" spans="2:24" hidden="1">
      <c r="B47" s="93"/>
      <c r="C47" s="94"/>
      <c r="D47" s="94"/>
      <c r="E47" s="94"/>
      <c r="F47" s="94"/>
      <c r="G47" s="95"/>
      <c r="H47" s="102"/>
      <c r="I47" s="94"/>
      <c r="J47" s="94"/>
      <c r="K47" s="94"/>
      <c r="L47" s="94"/>
      <c r="M47" s="94"/>
      <c r="N47" s="94"/>
      <c r="O47" s="94"/>
      <c r="P47" s="131"/>
      <c r="Q47" s="167"/>
      <c r="R47" s="167"/>
      <c r="S47" s="167"/>
      <c r="T47" s="168"/>
      <c r="U47" s="134"/>
      <c r="V47" s="134"/>
      <c r="W47" s="134"/>
      <c r="X47" s="169"/>
    </row>
    <row r="48" spans="2:24" hidden="1">
      <c r="B48" s="93"/>
      <c r="C48" s="94"/>
      <c r="D48" s="94"/>
      <c r="E48" s="94"/>
      <c r="F48" s="94"/>
      <c r="G48" s="95"/>
      <c r="H48" s="102"/>
      <c r="I48" s="94"/>
      <c r="J48" s="94"/>
      <c r="K48" s="94"/>
      <c r="L48" s="94"/>
      <c r="M48" s="94"/>
      <c r="N48" s="94"/>
      <c r="O48" s="94"/>
      <c r="P48" s="131"/>
      <c r="Q48" s="167"/>
      <c r="R48" s="167"/>
      <c r="S48" s="167"/>
      <c r="T48" s="168"/>
      <c r="U48" s="134"/>
      <c r="V48" s="134"/>
      <c r="W48" s="134"/>
      <c r="X48" s="169"/>
    </row>
    <row r="49" spans="2:24" hidden="1">
      <c r="B49" s="93"/>
      <c r="C49" s="94"/>
      <c r="D49" s="94"/>
      <c r="E49" s="94"/>
      <c r="F49" s="94"/>
      <c r="G49" s="95"/>
      <c r="H49" s="102"/>
      <c r="I49" s="94"/>
      <c r="J49" s="94"/>
      <c r="K49" s="94"/>
      <c r="L49" s="94"/>
      <c r="M49" s="94"/>
      <c r="N49" s="94"/>
      <c r="O49" s="94"/>
      <c r="P49" s="131"/>
      <c r="Q49" s="167"/>
      <c r="R49" s="167"/>
      <c r="S49" s="167"/>
      <c r="T49" s="168"/>
      <c r="U49" s="134"/>
      <c r="V49" s="134"/>
      <c r="W49" s="134"/>
      <c r="X49" s="169"/>
    </row>
    <row r="50" spans="2:24" hidden="1">
      <c r="B50" s="93"/>
      <c r="C50" s="94"/>
      <c r="D50" s="94"/>
      <c r="E50" s="94"/>
      <c r="F50" s="94"/>
      <c r="G50" s="95"/>
      <c r="H50" s="102"/>
      <c r="I50" s="94"/>
      <c r="J50" s="94"/>
      <c r="K50" s="94"/>
      <c r="L50" s="94"/>
      <c r="M50" s="94"/>
      <c r="N50" s="94"/>
      <c r="O50" s="94"/>
      <c r="P50" s="131"/>
      <c r="Q50" s="167"/>
      <c r="R50" s="167"/>
      <c r="S50" s="167"/>
      <c r="T50" s="168"/>
      <c r="U50" s="134"/>
      <c r="V50" s="134"/>
      <c r="W50" s="134"/>
      <c r="X50" s="169"/>
    </row>
    <row r="51" spans="2:24" hidden="1">
      <c r="B51" s="93"/>
      <c r="C51" s="94"/>
      <c r="D51" s="94"/>
      <c r="E51" s="94"/>
      <c r="F51" s="94"/>
      <c r="G51" s="95"/>
      <c r="H51" s="102"/>
      <c r="I51" s="94"/>
      <c r="J51" s="94"/>
      <c r="K51" s="94"/>
      <c r="L51" s="94"/>
      <c r="M51" s="94"/>
      <c r="N51" s="94"/>
      <c r="O51" s="94"/>
      <c r="P51" s="131"/>
      <c r="Q51" s="167"/>
      <c r="R51" s="167"/>
      <c r="S51" s="167"/>
      <c r="T51" s="168"/>
      <c r="U51" s="134"/>
      <c r="V51" s="134"/>
      <c r="W51" s="134"/>
      <c r="X51" s="169"/>
    </row>
    <row r="52" spans="2:24" ht="8.25" customHeight="1">
      <c r="B52" s="93"/>
      <c r="C52" s="94"/>
      <c r="D52" s="94"/>
      <c r="E52" s="94"/>
      <c r="F52" s="94"/>
      <c r="G52" s="95"/>
      <c r="H52" s="102"/>
      <c r="I52" s="94"/>
      <c r="J52" s="94"/>
      <c r="K52" s="94"/>
      <c r="L52" s="94"/>
      <c r="M52" s="94"/>
      <c r="N52" s="94"/>
      <c r="O52" s="94"/>
      <c r="P52" s="170"/>
      <c r="Q52" s="167"/>
      <c r="R52" s="167"/>
      <c r="S52" s="167"/>
      <c r="T52" s="168"/>
      <c r="U52" s="134"/>
      <c r="V52" s="134"/>
      <c r="W52" s="134"/>
      <c r="X52" s="169"/>
    </row>
    <row r="53" spans="2:24" ht="13.5" thickBot="1">
      <c r="B53" s="171"/>
      <c r="C53" s="172"/>
      <c r="D53" s="172"/>
      <c r="E53" s="172">
        <f>SUM(E21:E41)</f>
        <v>1327772.3470000003</v>
      </c>
      <c r="F53" s="173" t="s">
        <v>167</v>
      </c>
      <c r="G53" s="174">
        <f t="shared" ref="G53:X53" si="13">AVERAGE(G23:G38)</f>
        <v>0.17159789516155716</v>
      </c>
      <c r="H53" s="175">
        <f t="shared" si="13"/>
        <v>51.479368548467143</v>
      </c>
      <c r="I53" s="175">
        <f t="shared" si="13"/>
        <v>61.775242258160581</v>
      </c>
      <c r="J53" s="175">
        <f t="shared" si="13"/>
        <v>72.071115967854013</v>
      </c>
      <c r="K53" s="175">
        <f t="shared" si="13"/>
        <v>85.730308422713961</v>
      </c>
      <c r="L53" s="175">
        <f t="shared" si="13"/>
        <v>104.4344789953237</v>
      </c>
      <c r="M53" s="175">
        <f t="shared" si="13"/>
        <v>123.13864956793343</v>
      </c>
      <c r="N53" s="175">
        <f t="shared" si="13"/>
        <v>141.84282014054315</v>
      </c>
      <c r="O53" s="175">
        <f t="shared" si="13"/>
        <v>160.54699071315287</v>
      </c>
      <c r="P53" s="176">
        <f t="shared" si="13"/>
        <v>179.25116128576261</v>
      </c>
      <c r="Q53" s="175">
        <f t="shared" si="13"/>
        <v>1072.4868447597323</v>
      </c>
      <c r="R53" s="175">
        <f t="shared" si="13"/>
        <v>2144.9736895194646</v>
      </c>
      <c r="S53" s="175">
        <f t="shared" si="13"/>
        <v>4289.9473790389293</v>
      </c>
      <c r="T53" s="176">
        <f t="shared" si="13"/>
        <v>10724.868447597326</v>
      </c>
      <c r="U53" s="175">
        <f t="shared" si="13"/>
        <v>1715.9789516155718</v>
      </c>
      <c r="V53" s="175">
        <f t="shared" si="13"/>
        <v>3431.9579032311435</v>
      </c>
      <c r="W53" s="175">
        <f t="shared" si="13"/>
        <v>6863.915806462287</v>
      </c>
      <c r="X53" s="177">
        <f t="shared" si="13"/>
        <v>17159.789516155717</v>
      </c>
    </row>
    <row r="54" spans="2:24" ht="5.0999999999999996" customHeight="1" thickTop="1" thickBot="1">
      <c r="B54" s="178"/>
      <c r="C54" s="179"/>
      <c r="D54" s="179"/>
      <c r="E54" s="179"/>
      <c r="F54" s="179"/>
      <c r="G54" s="180"/>
      <c r="H54" s="181"/>
      <c r="I54" s="179"/>
      <c r="J54" s="179"/>
      <c r="K54" s="179"/>
      <c r="L54" s="179"/>
      <c r="M54" s="179"/>
      <c r="N54" s="179"/>
      <c r="O54" s="179"/>
      <c r="P54" s="180"/>
      <c r="Q54" s="181"/>
      <c r="R54" s="179"/>
      <c r="S54" s="179"/>
      <c r="T54" s="180"/>
      <c r="U54" s="179"/>
      <c r="V54" s="179"/>
      <c r="W54" s="179"/>
      <c r="X54" s="182"/>
    </row>
    <row r="55" spans="2:24" ht="13.5" thickTop="1"/>
    <row r="58" spans="2:24"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</row>
  </sheetData>
  <mergeCells count="15">
    <mergeCell ref="H16:P16"/>
    <mergeCell ref="H12:P12"/>
    <mergeCell ref="Q12:T12"/>
    <mergeCell ref="U12:X12"/>
    <mergeCell ref="H14:P14"/>
    <mergeCell ref="U14:X14"/>
    <mergeCell ref="Q15:T15"/>
    <mergeCell ref="U15:X15"/>
    <mergeCell ref="B1:X1"/>
    <mergeCell ref="B2:X2"/>
    <mergeCell ref="B3:X3"/>
    <mergeCell ref="B8:X9"/>
    <mergeCell ref="H11:P11"/>
    <mergeCell ref="Q11:T11"/>
    <mergeCell ref="U11:X11"/>
  </mergeCells>
  <printOptions horizontalCentered="1"/>
  <pageMargins left="0.7" right="0.7" top="0.75" bottom="0.75" header="0.3" footer="0.3"/>
  <pageSetup scale="67" orientation="landscape" r:id="rId1"/>
  <headerFooter>
    <oddFooter>&amp;L&amp;G&amp;R&amp;D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5887"/>
  <sheetViews>
    <sheetView workbookViewId="0">
      <selection activeCell="B16" sqref="B16"/>
    </sheetView>
  </sheetViews>
  <sheetFormatPr defaultRowHeight="15"/>
  <cols>
    <col min="1" max="1" width="9.7109375" style="1" bestFit="1" customWidth="1"/>
    <col min="2" max="2" width="16.7109375" style="1" customWidth="1"/>
    <col min="3" max="3" width="13.140625" style="1" customWidth="1"/>
    <col min="4" max="4" width="10.42578125" style="1" customWidth="1"/>
    <col min="5" max="5" width="11.140625" style="1" bestFit="1" customWidth="1"/>
    <col min="6" max="28" width="9.140625" style="1"/>
    <col min="29" max="29" width="9.7109375" bestFit="1" customWidth="1"/>
    <col min="30" max="31" width="81.140625" bestFit="1" customWidth="1"/>
    <col min="32" max="32" width="12" bestFit="1" customWidth="1"/>
    <col min="33" max="33" width="11.140625" bestFit="1" customWidth="1"/>
  </cols>
  <sheetData>
    <row r="1" spans="1:28">
      <c r="A1" s="1" t="s">
        <v>29</v>
      </c>
      <c r="B1" s="1" t="s">
        <v>36</v>
      </c>
      <c r="C1" s="1" t="s">
        <v>30</v>
      </c>
      <c r="D1" s="1" t="s">
        <v>31</v>
      </c>
      <c r="E1" s="1" t="s">
        <v>32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</row>
    <row r="2" spans="1:28">
      <c r="A2" s="1">
        <v>12345</v>
      </c>
      <c r="B2" s="1" t="s">
        <v>34</v>
      </c>
      <c r="C2" s="1" t="s">
        <v>33</v>
      </c>
      <c r="D2" s="1">
        <v>700000</v>
      </c>
      <c r="E2" s="1" t="s">
        <v>35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6:28"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6:28"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6:28"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6:28"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6:28"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6:28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6:28"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6:28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6:28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6:28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6:28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6:28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6:28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6:28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6:28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6:28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6:28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6:28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6:28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6:28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6:28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6:28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6:28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6:28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6:28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6:28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6:28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6:28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6:28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6:28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6:28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6:28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6:28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6:28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6:28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6:28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6:28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6:28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6:28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6:28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6:28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6:28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6:28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6:28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6:28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6:28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6:28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6:28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6:28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6:28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6:28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6:28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6:28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6:28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6:28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6:28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6:28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6:28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6:28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6:28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6:28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6:28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6:28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6:28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6:28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6:28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6:28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6:28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6:28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6:28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6:28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6:28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6:28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6:28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6:28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6:28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6:28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6:28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6:28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6:28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6:28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6:28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6:28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6:28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6:28"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6:28"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6:28"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6:28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6:28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6:28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6:28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6:28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6:28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6:28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6:28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6:28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6:28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6:28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6:28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6:28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6:28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6:28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6:28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6:28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6:28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6:28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6:28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6:28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6:28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6:28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6:28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6:28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6:28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6:28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6:28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6:28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6:28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6:28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6:28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6:28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6:28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6:28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6:28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6:28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6:28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6:28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6:28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6:28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6:28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6:28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6:28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6:28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6:28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6:28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6:28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6:28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6:28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6:28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6:28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6:28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6:28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6:28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6:28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6:28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6:28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6:28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6:28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6:28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6:28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6:28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6:28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6:28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6:28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6:28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6:28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6:28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6:28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6:28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6:28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6:28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6:28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6:28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6:28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6:28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6:28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6:28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6:28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6:28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6:28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6:28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6:28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6:28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6:28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6:28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6:28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6:28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6:28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6:28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6:28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6:28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6:28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6:28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6:28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6:28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6:28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6:28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6:28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6:28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6:28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6:28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6:28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6:28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6:28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6:28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6:28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6:28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6:28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6:28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6:28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6:28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6:28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6:28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6:28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6:28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6:28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6:28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6:28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6:28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6:28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6:28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6:28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6:28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6:28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6:28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6:28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6:28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6:28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6:28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6:28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6:28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6:28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6:28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6:28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6:28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6:28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6:28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6:28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6:28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6:28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6:28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6:28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6:28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6:28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6:28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6:28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6:28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6:28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6:28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6:28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6:28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6:28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6:28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6:28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6:28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6:28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6:28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6:28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6:28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6:28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6:28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6:28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6:28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6:28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6:28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6:28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6:28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6:28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6:28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6:28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6:28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6:28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6:28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6:28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6:28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6:28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6:28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6:28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6:28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6:28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6:28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6:28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6:28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6:28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6:28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6:28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6:28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6:28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6:28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6:28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6:28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6:28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6:28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6:28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6:28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6:28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6:28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6:28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6:28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6:28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6:28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6:28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6:28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6:28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6:28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6:28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6:28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6:28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6:28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6:28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6:28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6:28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6:28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6:28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6:28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6:28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6:28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6:28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6:28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6:28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6:28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6:28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6:28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6:28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6:28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6:28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6:28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6:28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6:28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6:28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6:28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6:28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6:28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6:28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6:28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6:28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6:28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6:28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6:28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6:28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6:28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6:28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6:28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6:28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6:28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6:28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6:28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6:28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6:28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6:28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6:28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6:28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6:28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6:28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6:28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6:28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6:28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6:28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6:28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6:28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6:28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6:28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6:28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6:28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6:28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6:28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6:28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6:28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6:28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6:28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6:28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6:28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6:28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6:28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6:28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6:28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6:28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6:28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6:28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6:28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6:28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6:28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6:28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6:28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6:28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6:28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6:28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6:28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6:28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6:28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6:28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6:28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6:28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6:28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6:28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6:28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6:28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6:28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6:28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6:28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6:28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6:28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6:28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6:28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6:28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6:28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6:28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6:28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6:28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6:28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6:28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6:28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6:28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6:28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6:28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6:28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6:28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6:28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6:28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6:28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6:28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6:28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6:28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6:28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6:28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6:28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6:28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6:28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6:28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6:28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6:28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6:28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6:28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6:28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6:28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6:28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6:28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6:28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6:28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6:28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6:28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6:28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6:28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6:28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6:28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6:28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6:28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6:28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6:28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6:28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6:28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6:28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6:28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6:28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6:28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6:28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6:28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6:28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6:28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6:28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6:28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6:28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6:28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6:28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6:28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6:28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6:28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6:28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6:28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6:28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6:28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6:28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6:28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6:28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6:28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6:28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6:28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6:28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6:28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6:28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6:28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6:28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6:28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6:28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6:28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6:28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6:28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6:28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6:28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6:28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6:28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6:28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6:28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6:28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6:28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6:28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6:28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6:28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6:28"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6:28"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6:28"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6:28"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6:28"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6:28"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6:28"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6:28"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6:28"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6:28"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6:28"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6:28"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6:28"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6:28"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6:28"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6:28"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6:28"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6:28"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6:28"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6:28"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6:28"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6:28"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6:28"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6:28"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6:28"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6:28"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6:28"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6:28"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6:28"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6:28"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6:28"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6:28"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6:28"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6:28"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6:28"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6:28"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6:28"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6:28"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6:28"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6:28"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6:28"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6:28"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6:28"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6:28"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6:28"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6:28"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6:28"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6:28"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6:28"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6:28"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6:28"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6:28"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6:28"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6:28"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6:28"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6:28"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6:28"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6:28"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6:28"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6:28"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6:28"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6:28"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6:28"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6:28"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6:28"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6:28"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6:28"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6:28"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6:28"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6:28"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6:28"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6:28"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6:28"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6:28"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6:28"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6:28"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6:28"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6:28"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6:28"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6:28"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6:28"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6:28"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6:28"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6:28"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6:28"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6:28"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6:28"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6:28"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6:28"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6:28"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6:28"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6:28"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6:28"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6:28"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6:28"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6:28"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6:28"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6:28"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6:28"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6:28"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6:28"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6:28"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6:28"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6:28"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6:28"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6:28"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6:28"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6:28"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6:28"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6:28"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6:28"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6:28"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6:28"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6:28"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6:28"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6:28"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6:28"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6:28"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6:28"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6:28"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6:28"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6:28"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6:28"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6:28"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6:28"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6:28"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6:28"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6:28"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6:28"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6:28"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6:28"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6:28"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6:28"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6:28"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6:28"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6:28"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6:28"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6:28"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6:28"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6:28"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6:28"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6:28"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6:28"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6:28"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6:28"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6:28"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6:28"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6:28"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6:28"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6:28"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6:28"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6:28"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6:28"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6:28"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6:28"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6:28"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6:28"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6:28"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6:28"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6:28"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6:28"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6:28"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6:28"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6:28"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6:28"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6:28"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6:28"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6:28"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6:28"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6:28"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6:28"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6:28"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6:28"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6:28"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6:28"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6:28"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6:28"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6:28"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6:28"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6:28"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6:28"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6:28"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6:28"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6:28"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6:28"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6:28"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6:28"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6:28"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6:28"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6:28"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6:28"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6:28"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6:28"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6:28"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6:28"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6:28"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6:28"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6:28"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6:28"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6:28"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6:28"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6:28"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6:28"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6:28"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6:28"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6:28"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6:28"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6:28"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6:28"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6:28"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6:28"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6:28"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6:28"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6:28"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6:28"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6:28"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6:28"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6:28"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6:28"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6:28"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6:28"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6:28"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6:28"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6:28"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6:28"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6:28"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6:28"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6:28"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6:28"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6:28"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6:28"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6:28"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6:28"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6:28"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6:28"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6:28"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6:28"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6:28"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6:28"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6:28"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6:28"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6:28"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6:28"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6:28"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6:28"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6:28"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6:28"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6:28"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6:28"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6:28"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6:28"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6:28"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6:28"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6:28"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6:28"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6:28"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6:28"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6:28"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6:28"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6:28"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6:28"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6:28"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6:28"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6:28"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6:28"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6:28"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6:28"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6:28"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6:28"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6:28"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6:28"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6:28"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6:28"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6:28"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6:28"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6:28"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6:28"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6:28"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6:28"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6:28"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6:28"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6:28"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6:28"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6:28"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6:28"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6:28"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6:28"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6:28"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6:28"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6:28"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6:28"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6:28"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6:28"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6:28"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6:28"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6:28"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6:28"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6:28"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6:28"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6:28"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6:28"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6:28"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6:28"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6:28"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6:28"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6:28"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6:28"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6:28"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6:28"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6:28"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6:28"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6:28"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6:28"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6:28"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6:28"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6:28"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6:28"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6:28"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6:28"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6:28"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6:28"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6:28"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6:28"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6:28"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6:28"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6:28"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6:28"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6:28"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6:28"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6:28"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6:28"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6:28"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6:28"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6:28"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6:28"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6:28"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6:28"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6:28"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6:28"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6:28"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6:28"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6:28"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6:28"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6:28"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6:28"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6:28"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6:28"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6:28"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6:28"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6:28"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6:28"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6:28"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6:28"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6:28"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6:28"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6:28"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6:28"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6:28"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6:28"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6:28"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6:28"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6:28"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6:28"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6:28"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6:28"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6:28"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6:28"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6:28"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6:28"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6:28"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6:28"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6:28"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6:28"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6:28"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6:28"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6:28"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6:28"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6:28"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6:28"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6:28"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6:28"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6:28"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6:28"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6:28"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6:28"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6:28"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6:28"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6:28"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6:28"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6:28"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6:28"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6:28"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6:28"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6:28"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6:28"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6:28"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6:28"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6:28"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6:28"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6:28"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6:28"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6:28"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6:28"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6:28"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6:28"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6:28"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6:28"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6:28"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6:28"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6:28"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6:28"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6:28"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6:28"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6:28"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6:28"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6:28"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6:28"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6:28"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6:28"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6:28"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6:28"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6:28"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6:28"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6:28"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6:28"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6:28"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6:28"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6:28"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6:28"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6:28"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6:28"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6:28"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6:28"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6:28"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6:28"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6:28"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6:28"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6:28"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6:28"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6:28"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6:28"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6:28"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6:28"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6:28"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6:28"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6:28"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6:28"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6:28"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6:28"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6:28"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6:28"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6:28"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6:28"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6:28"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6:28"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6:28"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6:28"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6:28"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6:28"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6:28"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6:28"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6:28"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6:28"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6:28"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6:28"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6:28"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6:28"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6:28"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6:28"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6:28"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6:28"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6:28"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6:28"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6:28"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6:28"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6:28"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6:28"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6:28"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6:28"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6:28"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6:28"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6:28"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6:28"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6:28"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6:28"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6:28"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6:28"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6:28"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6:28"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6:28"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6:28"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6:28"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6:28"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6:28"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6:28"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6:28"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6:28"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6:28"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  <row r="1002" spans="6:28"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</row>
    <row r="1003" spans="6:28"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</row>
    <row r="1004" spans="6:28"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</row>
    <row r="1005" spans="6:28"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</row>
    <row r="1006" spans="6:28"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</row>
    <row r="1007" spans="6:28"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</row>
    <row r="1008" spans="6:28"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</row>
    <row r="1009" spans="6:28"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</row>
    <row r="1010" spans="6:28"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</row>
    <row r="1011" spans="6:28"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</row>
    <row r="1012" spans="6:28"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</row>
    <row r="1013" spans="6:28"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</row>
    <row r="1014" spans="6:28"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</row>
    <row r="1015" spans="6:28"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</row>
    <row r="1016" spans="6:28"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</row>
    <row r="1017" spans="6:28"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</row>
    <row r="1018" spans="6:28"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</row>
    <row r="1019" spans="6:28"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</row>
    <row r="1020" spans="6:28"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</row>
    <row r="1021" spans="6:28"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</row>
    <row r="1022" spans="6:28"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</row>
    <row r="1023" spans="6:28"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</row>
    <row r="1024" spans="6:28"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</row>
    <row r="1025" spans="6:28"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</row>
    <row r="1026" spans="6:28"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</row>
    <row r="1027" spans="6:28"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</row>
    <row r="1028" spans="6:28"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</row>
    <row r="1029" spans="6:28"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</row>
    <row r="1030" spans="6:28"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</row>
    <row r="1031" spans="6:28"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</row>
    <row r="1032" spans="6:28"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</row>
    <row r="1033" spans="6:28"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</row>
    <row r="1034" spans="6:28"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</row>
    <row r="1035" spans="6:28"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</row>
    <row r="1036" spans="6:28"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</row>
    <row r="1037" spans="6:28"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</row>
    <row r="1038" spans="6:28"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</row>
    <row r="1039" spans="6:28"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</row>
    <row r="1040" spans="6:28"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</row>
    <row r="1041" spans="6:28"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</row>
    <row r="1042" spans="6:28"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</row>
    <row r="1043" spans="6:28"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</row>
    <row r="1044" spans="6:28"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</row>
    <row r="1045" spans="6:28"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</row>
    <row r="1046" spans="6:28"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</row>
    <row r="1047" spans="6:28"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</row>
    <row r="1048" spans="6:28"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</row>
    <row r="1049" spans="6:28"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</row>
    <row r="1050" spans="6:28"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</row>
    <row r="1051" spans="6:28"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</row>
    <row r="1052" spans="6:28"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</row>
    <row r="1053" spans="6:28"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</row>
    <row r="1054" spans="6:28"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</row>
    <row r="1055" spans="6:28"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</row>
    <row r="1056" spans="6:28"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</row>
    <row r="1057" spans="6:28"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</row>
    <row r="1058" spans="6:28"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</row>
    <row r="1059" spans="6:28"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</row>
    <row r="1060" spans="6:28"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</row>
    <row r="1061" spans="6:28"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</row>
    <row r="1062" spans="6:28"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</row>
    <row r="1063" spans="6:28"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</row>
    <row r="1064" spans="6:28"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</row>
    <row r="1065" spans="6:28"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</row>
    <row r="1066" spans="6:28"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</row>
    <row r="1067" spans="6:28"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</row>
    <row r="1068" spans="6:28"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</row>
    <row r="1069" spans="6:28"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</row>
    <row r="1070" spans="6:28"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</row>
    <row r="1071" spans="6:28"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</row>
    <row r="1072" spans="6:28"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</row>
    <row r="1073" spans="6:28"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</row>
    <row r="1074" spans="6:28"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</row>
    <row r="1075" spans="6:28"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</row>
    <row r="1076" spans="6:28"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</row>
    <row r="1077" spans="6:28"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</row>
    <row r="1078" spans="6:28"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</row>
    <row r="1079" spans="6:28"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</row>
    <row r="1080" spans="6:28"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</row>
    <row r="1081" spans="6:28"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</row>
    <row r="1082" spans="6:28"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</row>
    <row r="1083" spans="6:28"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</row>
    <row r="1084" spans="6:28"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</row>
    <row r="1085" spans="6:28"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</row>
    <row r="1086" spans="6:28"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</row>
    <row r="1087" spans="6:28"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</row>
    <row r="1088" spans="6:28"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</row>
    <row r="1089" spans="6:28"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</row>
    <row r="1090" spans="6:28"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</row>
    <row r="1091" spans="6:28"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</row>
    <row r="1092" spans="6:28"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</row>
    <row r="1093" spans="6:28"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</row>
    <row r="1094" spans="6:28"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</row>
    <row r="1095" spans="6:28"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</row>
    <row r="1096" spans="6:28"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</row>
    <row r="1097" spans="6:28"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</row>
    <row r="1098" spans="6:28"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</row>
    <row r="1099" spans="6:28"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</row>
    <row r="1100" spans="6:28"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</row>
    <row r="1101" spans="6:28"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</row>
    <row r="1102" spans="6:28"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</row>
    <row r="1103" spans="6:28"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</row>
    <row r="1104" spans="6:28"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</row>
    <row r="1105" spans="6:28"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</row>
    <row r="1106" spans="6:28"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</row>
    <row r="1107" spans="6:28"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</row>
    <row r="1108" spans="6:28"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</row>
    <row r="1109" spans="6:28"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</row>
    <row r="1110" spans="6:28"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</row>
    <row r="1111" spans="6:28"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</row>
    <row r="1112" spans="6:28"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</row>
    <row r="1113" spans="6:28"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</row>
    <row r="1114" spans="6:28"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</row>
    <row r="1115" spans="6:28"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</row>
    <row r="1116" spans="6:28"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</row>
    <row r="1117" spans="6:28"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</row>
    <row r="1118" spans="6:28"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</row>
    <row r="1119" spans="6:28"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</row>
    <row r="1120" spans="6:28"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</row>
    <row r="1121" spans="6:28"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</row>
    <row r="1122" spans="6:28"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</row>
    <row r="1123" spans="6:28"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</row>
    <row r="1124" spans="6:28"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</row>
    <row r="1125" spans="6:28"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</row>
    <row r="1126" spans="6:28"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</row>
    <row r="1127" spans="6:28"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</row>
    <row r="1128" spans="6:28"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</row>
    <row r="1129" spans="6:28"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</row>
    <row r="1130" spans="6:28"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</row>
    <row r="1131" spans="6:28"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</row>
    <row r="1132" spans="6:28"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</row>
    <row r="1133" spans="6:28"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</row>
    <row r="1134" spans="6:28"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</row>
    <row r="1135" spans="6:28"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</row>
    <row r="1136" spans="6:28"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</row>
    <row r="1137" spans="6:28"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</row>
    <row r="1138" spans="6:28"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</row>
    <row r="1139" spans="6:28"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</row>
    <row r="1140" spans="6:28"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</row>
    <row r="1141" spans="6:28"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</row>
    <row r="1142" spans="6:28"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</row>
    <row r="1143" spans="6:28"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</row>
    <row r="1144" spans="6:28"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</row>
    <row r="1145" spans="6:28"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</row>
    <row r="1146" spans="6:28"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</row>
    <row r="1147" spans="6:28"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</row>
    <row r="1148" spans="6:28"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</row>
    <row r="1149" spans="6:28"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</row>
    <row r="1150" spans="6:28"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</row>
    <row r="1151" spans="6:28"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</row>
    <row r="1152" spans="6:28"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</row>
    <row r="1153" spans="6:28"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</row>
    <row r="1154" spans="6:28"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</row>
    <row r="1155" spans="6:28"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</row>
    <row r="1156" spans="6:28"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</row>
    <row r="1157" spans="6:28"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</row>
    <row r="1158" spans="6:28"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</row>
    <row r="1159" spans="6:28"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</row>
    <row r="1160" spans="6:28"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</row>
    <row r="1161" spans="6:28"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</row>
    <row r="1162" spans="6:28"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</row>
    <row r="1163" spans="6:28"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</row>
    <row r="1164" spans="6:28"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</row>
    <row r="1165" spans="6:28"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</row>
    <row r="1166" spans="6:28"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</row>
    <row r="1167" spans="6:28"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</row>
    <row r="1168" spans="6:28"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</row>
    <row r="1169" spans="6:28"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</row>
    <row r="1170" spans="6:28"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</row>
    <row r="1171" spans="6:28"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</row>
    <row r="1172" spans="6:28"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</row>
    <row r="1173" spans="6:28"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</row>
    <row r="1174" spans="6:28"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</row>
    <row r="1175" spans="6:28"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</row>
    <row r="1176" spans="6:28"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</row>
    <row r="1177" spans="6:28"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</row>
    <row r="1178" spans="6:28"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</row>
    <row r="1179" spans="6:28"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</row>
    <row r="1180" spans="6:28"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</row>
    <row r="1181" spans="6:28"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</row>
    <row r="1182" spans="6:28"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</row>
    <row r="1183" spans="6:28"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</row>
    <row r="1184" spans="6:28"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</row>
    <row r="1185" spans="6:28"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</row>
    <row r="1186" spans="6:28"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</row>
    <row r="1187" spans="6:28"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</row>
    <row r="1188" spans="6:28"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</row>
    <row r="1189" spans="6:28"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</row>
    <row r="1190" spans="6:28"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</row>
    <row r="1191" spans="6:28"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</row>
    <row r="1192" spans="6:28"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</row>
    <row r="1193" spans="6:28"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</row>
    <row r="1194" spans="6:28"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</row>
    <row r="1195" spans="6:28"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</row>
    <row r="1196" spans="6:28"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</row>
    <row r="1197" spans="6:28"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</row>
    <row r="1198" spans="6:28"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</row>
    <row r="1199" spans="6:28"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</row>
    <row r="1200" spans="6:28"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</row>
    <row r="1201" spans="6:28"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</row>
    <row r="1202" spans="6:28"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</row>
    <row r="1203" spans="6:28"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</row>
    <row r="1204" spans="6:28"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</row>
    <row r="1205" spans="6:28"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</row>
    <row r="1206" spans="6:28"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</row>
    <row r="1207" spans="6:28"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</row>
    <row r="1208" spans="6:28"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</row>
    <row r="1209" spans="6:28"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</row>
    <row r="1210" spans="6:28"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</row>
    <row r="1211" spans="6:28"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</row>
    <row r="1212" spans="6:28"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</row>
    <row r="1213" spans="6:28"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</row>
    <row r="1214" spans="6:28"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</row>
    <row r="1215" spans="6:28"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</row>
    <row r="1216" spans="6:28"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</row>
    <row r="1217" spans="6:28"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</row>
    <row r="1218" spans="6:28"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</row>
    <row r="1219" spans="6:28"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</row>
    <row r="1220" spans="6:28"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</row>
    <row r="1221" spans="6:28"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</row>
    <row r="1222" spans="6:28"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</row>
    <row r="1223" spans="6:28"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</row>
    <row r="1224" spans="6:28"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</row>
    <row r="1225" spans="6:28"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</row>
    <row r="1226" spans="6:28"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</row>
    <row r="1227" spans="6:28"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</row>
    <row r="1228" spans="6:28"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</row>
    <row r="1229" spans="6:28"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</row>
    <row r="1230" spans="6:28"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</row>
    <row r="1231" spans="6:28"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</row>
    <row r="1232" spans="6:28"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</row>
    <row r="1233" spans="6:28"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</row>
    <row r="1234" spans="6:28"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</row>
    <row r="1235" spans="6:28"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</row>
    <row r="1236" spans="6:28"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</row>
    <row r="1237" spans="6:28"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</row>
    <row r="1238" spans="6:28"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</row>
    <row r="1239" spans="6:28"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</row>
    <row r="1240" spans="6:28"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</row>
    <row r="1241" spans="6:28"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</row>
    <row r="1242" spans="6:28"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</row>
    <row r="1243" spans="6:28"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</row>
    <row r="1244" spans="6:28"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</row>
    <row r="1245" spans="6:28"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</row>
    <row r="1246" spans="6:28"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</row>
    <row r="1247" spans="6:28"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</row>
    <row r="1248" spans="6:28"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</row>
    <row r="1249" spans="6:28"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</row>
    <row r="1250" spans="6:28"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</row>
    <row r="1251" spans="6:28"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</row>
    <row r="1252" spans="6:28"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</row>
    <row r="1253" spans="6:28"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</row>
    <row r="1254" spans="6:28"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</row>
    <row r="1255" spans="6:28"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</row>
    <row r="1256" spans="6:28"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</row>
    <row r="1257" spans="6:28"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</row>
    <row r="1258" spans="6:28"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</row>
    <row r="1259" spans="6:28"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</row>
    <row r="1260" spans="6:28"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</row>
    <row r="1261" spans="6:28"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</row>
    <row r="1262" spans="6:28"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</row>
    <row r="1263" spans="6:28"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</row>
    <row r="1264" spans="6:28"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</row>
    <row r="1265" spans="6:28"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</row>
    <row r="1266" spans="6:28"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</row>
    <row r="1267" spans="6:28"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</row>
    <row r="1268" spans="6:28"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</row>
    <row r="1269" spans="6:28"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</row>
    <row r="1270" spans="6:28"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</row>
    <row r="1271" spans="6:28"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</row>
    <row r="1272" spans="6:28"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</row>
    <row r="1273" spans="6:28"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</row>
    <row r="1274" spans="6:28"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</row>
    <row r="1275" spans="6:28"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</row>
    <row r="1276" spans="6:28"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</row>
    <row r="1277" spans="6:28"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</row>
    <row r="1278" spans="6:28"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</row>
    <row r="1279" spans="6:28"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</row>
    <row r="1280" spans="6:28"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</row>
    <row r="1281" spans="6:28"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</row>
    <row r="1282" spans="6:28"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</row>
    <row r="1283" spans="6:28"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</row>
    <row r="1284" spans="6:28"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</row>
    <row r="1285" spans="6:28"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</row>
    <row r="1286" spans="6:28"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</row>
    <row r="1287" spans="6:28"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</row>
    <row r="1288" spans="6:28"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</row>
    <row r="1289" spans="6:28"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</row>
    <row r="1290" spans="6:28"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</row>
    <row r="1291" spans="6:28"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</row>
    <row r="1292" spans="6:28"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</row>
    <row r="1293" spans="6:28"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</row>
    <row r="1294" spans="6:28"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</row>
    <row r="1295" spans="6:28"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</row>
    <row r="1296" spans="6:28"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</row>
    <row r="1297" spans="6:28"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</row>
    <row r="1298" spans="6:28"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</row>
    <row r="1299" spans="6:28"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</row>
    <row r="1300" spans="6:28"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</row>
    <row r="1301" spans="6:28"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</row>
    <row r="1302" spans="6:28"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</row>
    <row r="1303" spans="6:28"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</row>
    <row r="1304" spans="6:28"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</row>
    <row r="1305" spans="6:28"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</row>
    <row r="1306" spans="6:28"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</row>
    <row r="1307" spans="6:28"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</row>
    <row r="1308" spans="6:28"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</row>
    <row r="1309" spans="6:28"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</row>
    <row r="1310" spans="6:28"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</row>
    <row r="1311" spans="6:28"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</row>
    <row r="1312" spans="6:28"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</row>
    <row r="1313" spans="6:28"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</row>
    <row r="1314" spans="6:28"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</row>
    <row r="1315" spans="6:28"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</row>
    <row r="1316" spans="6:28"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</row>
    <row r="1317" spans="6:28"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</row>
    <row r="1318" spans="6:28"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</row>
    <row r="1319" spans="6:28"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</row>
    <row r="1320" spans="6:28"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</row>
    <row r="1321" spans="6:28"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</row>
    <row r="1322" spans="6:28"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</row>
    <row r="1323" spans="6:28"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</row>
    <row r="1324" spans="6:28"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</row>
    <row r="1325" spans="6:28"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</row>
    <row r="1326" spans="6:28"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</row>
    <row r="1327" spans="6:28"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</row>
    <row r="1328" spans="6:28"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</row>
    <row r="1329" spans="6:28"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</row>
    <row r="1330" spans="6:28"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</row>
    <row r="1331" spans="6:28"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</row>
    <row r="1332" spans="6:28"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</row>
    <row r="1333" spans="6:28"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</row>
    <row r="1334" spans="6:28"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</row>
    <row r="1335" spans="6:28"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</row>
    <row r="1336" spans="6:28"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</row>
    <row r="1337" spans="6:28"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</row>
    <row r="1338" spans="6:28"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</row>
    <row r="1339" spans="6:28"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</row>
    <row r="1340" spans="6:28"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</row>
    <row r="1341" spans="6:28"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</row>
    <row r="1342" spans="6:28"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</row>
    <row r="1343" spans="6:28"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</row>
    <row r="1344" spans="6:28"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</row>
    <row r="1345" spans="6:28"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</row>
    <row r="1346" spans="6:28"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</row>
    <row r="1347" spans="6:28"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</row>
    <row r="1348" spans="6:28"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</row>
    <row r="1349" spans="6:28"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</row>
    <row r="1350" spans="6:28"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</row>
    <row r="1351" spans="6:28"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</row>
    <row r="1352" spans="6:28"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</row>
    <row r="1353" spans="6:28"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</row>
    <row r="1354" spans="6:28"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</row>
    <row r="1355" spans="6:28"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</row>
    <row r="1356" spans="6:28"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</row>
    <row r="1357" spans="6:28"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</row>
    <row r="1358" spans="6:28"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</row>
    <row r="1359" spans="6:28"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</row>
    <row r="1360" spans="6:28"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</row>
    <row r="1361" spans="6:28"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</row>
    <row r="1362" spans="6:28"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</row>
    <row r="1363" spans="6:28"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</row>
    <row r="1364" spans="6:28"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</row>
    <row r="1365" spans="6:28"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</row>
    <row r="1366" spans="6:28"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</row>
    <row r="1367" spans="6:28"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</row>
    <row r="1368" spans="6:28"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</row>
    <row r="1369" spans="6:28"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</row>
    <row r="1370" spans="6:28"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</row>
    <row r="1371" spans="6:28"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</row>
    <row r="1372" spans="6:28"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</row>
    <row r="1373" spans="6:28"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</row>
    <row r="1374" spans="6:28"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</row>
    <row r="1375" spans="6:28"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</row>
    <row r="1376" spans="6:28"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</row>
    <row r="1377" spans="6:28"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</row>
    <row r="1378" spans="6:28"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</row>
    <row r="1379" spans="6:28"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</row>
    <row r="1380" spans="6:28"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</row>
    <row r="1381" spans="6:28"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</row>
    <row r="1382" spans="6:28"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</row>
    <row r="1383" spans="6:28"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</row>
    <row r="1384" spans="6:28"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</row>
    <row r="1385" spans="6:28"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</row>
    <row r="1386" spans="6:28"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</row>
    <row r="1387" spans="6:28"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</row>
    <row r="1388" spans="6:28"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</row>
    <row r="1389" spans="6:28"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</row>
    <row r="1390" spans="6:28"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</row>
    <row r="1391" spans="6:28"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</row>
    <row r="1392" spans="6:28"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</row>
    <row r="1393" spans="6:28"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</row>
    <row r="1394" spans="6:28"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</row>
    <row r="1395" spans="6:28"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</row>
    <row r="1396" spans="6:28"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</row>
    <row r="1397" spans="6:28"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</row>
    <row r="1398" spans="6:28"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</row>
    <row r="1399" spans="6:28"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</row>
    <row r="1400" spans="6:28"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</row>
    <row r="1401" spans="6:28"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</row>
    <row r="1402" spans="6:28"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</row>
    <row r="1403" spans="6:28"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</row>
    <row r="1404" spans="6:28"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</row>
    <row r="1405" spans="6:28"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</row>
    <row r="1406" spans="6:28"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</row>
    <row r="1407" spans="6:28"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</row>
    <row r="1408" spans="6:28"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</row>
    <row r="1409" spans="6:28"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</row>
    <row r="1410" spans="6:28"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</row>
    <row r="1411" spans="6:28"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</row>
    <row r="1412" spans="6:28"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</row>
    <row r="1413" spans="6:28"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</row>
    <row r="1414" spans="6:28"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</row>
    <row r="1415" spans="6:28"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</row>
    <row r="1416" spans="6:28"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</row>
    <row r="1417" spans="6:28"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</row>
    <row r="1418" spans="6:28"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</row>
    <row r="1419" spans="6:28"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</row>
    <row r="1420" spans="6:28"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</row>
    <row r="1421" spans="6:28"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</row>
    <row r="1422" spans="6:28"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</row>
    <row r="1423" spans="6:28"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</row>
    <row r="1424" spans="6:28"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</row>
    <row r="1425" spans="6:28"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</row>
    <row r="1426" spans="6:28"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</row>
    <row r="1427" spans="6:28"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</row>
    <row r="1428" spans="6:28"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</row>
    <row r="1429" spans="6:28"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</row>
    <row r="1430" spans="6:28"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</row>
    <row r="1431" spans="6:28"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</row>
    <row r="1432" spans="6:28"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</row>
    <row r="1433" spans="6:28"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</row>
    <row r="1434" spans="6:28"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</row>
    <row r="1435" spans="6:28"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</row>
    <row r="1436" spans="6:28"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</row>
    <row r="1437" spans="6:28"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</row>
    <row r="1438" spans="6:28"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</row>
    <row r="1439" spans="6:28"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</row>
    <row r="1440" spans="6:28"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</row>
    <row r="1441" spans="6:28"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</row>
    <row r="1442" spans="6:28"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</row>
    <row r="1443" spans="6:28"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</row>
    <row r="1444" spans="6:28"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</row>
    <row r="1445" spans="6:28"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</row>
    <row r="1446" spans="6:28"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</row>
    <row r="1447" spans="6:28"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</row>
    <row r="1448" spans="6:28"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</row>
    <row r="1449" spans="6:28"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</row>
    <row r="1450" spans="6:28"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</row>
    <row r="1451" spans="6:28"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</row>
    <row r="1452" spans="6:28"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</row>
    <row r="1453" spans="6:28"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</row>
    <row r="1454" spans="6:28"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</row>
    <row r="1455" spans="6:28"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</row>
    <row r="1456" spans="6:28"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</row>
    <row r="1457" spans="6:28"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</row>
    <row r="1458" spans="6:28"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</row>
    <row r="1459" spans="6:28"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</row>
    <row r="1460" spans="6:28"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</row>
    <row r="1461" spans="6:28"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</row>
    <row r="1462" spans="6:28"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</row>
    <row r="1463" spans="6:28"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</row>
    <row r="1464" spans="6:28"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</row>
    <row r="1465" spans="6:28"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</row>
    <row r="1466" spans="6:28"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</row>
    <row r="1467" spans="6:28"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</row>
    <row r="1468" spans="6:28"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</row>
    <row r="1469" spans="6:28"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</row>
    <row r="1470" spans="6:28"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</row>
    <row r="1471" spans="6:28"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</row>
    <row r="1472" spans="6:28"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</row>
    <row r="1473" spans="6:28"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</row>
    <row r="1474" spans="6:28"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</row>
    <row r="1475" spans="6:28"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</row>
    <row r="1476" spans="6:28"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</row>
    <row r="1477" spans="6:28"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</row>
    <row r="1478" spans="6:28"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</row>
    <row r="1479" spans="6:28"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</row>
    <row r="1480" spans="6:28"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</row>
    <row r="1481" spans="6:28"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</row>
    <row r="1482" spans="6:28"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</row>
    <row r="1483" spans="6:28"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</row>
    <row r="1484" spans="6:28"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</row>
    <row r="1485" spans="6:28"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</row>
    <row r="1486" spans="6:28"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</row>
    <row r="1487" spans="6:28"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</row>
    <row r="1488" spans="6:28"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</row>
    <row r="1489" spans="6:28"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</row>
    <row r="1490" spans="6:28"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</row>
    <row r="1491" spans="6:28"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</row>
    <row r="1492" spans="6:28"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</row>
    <row r="1493" spans="6:28"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</row>
    <row r="1494" spans="6:28"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</row>
    <row r="1495" spans="6:28"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</row>
    <row r="1496" spans="6:28"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</row>
    <row r="1497" spans="6:28"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</row>
    <row r="1498" spans="6:28"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</row>
    <row r="1499" spans="6:28"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</row>
    <row r="1500" spans="6:28"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</row>
    <row r="1501" spans="6:28"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</row>
    <row r="1502" spans="6:28"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</row>
    <row r="1503" spans="6:28"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</row>
    <row r="1504" spans="6:28"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</row>
    <row r="1505" spans="6:28"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</row>
    <row r="1506" spans="6:28"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</row>
    <row r="1507" spans="6:28"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</row>
    <row r="1508" spans="6:28"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</row>
    <row r="1509" spans="6:28"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</row>
    <row r="1510" spans="6:28"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</row>
    <row r="1511" spans="6:28"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</row>
    <row r="1512" spans="6:28"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</row>
    <row r="1513" spans="6:28"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</row>
    <row r="1514" spans="6:28"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</row>
    <row r="1515" spans="6:28"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</row>
    <row r="1516" spans="6:28"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</row>
    <row r="1517" spans="6:28"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</row>
    <row r="1518" spans="6:28"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</row>
    <row r="1519" spans="6:28"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</row>
    <row r="1520" spans="6:28"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</row>
    <row r="1521" spans="6:28"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</row>
    <row r="1522" spans="6:28"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</row>
    <row r="1523" spans="6:28"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</row>
    <row r="1524" spans="6:28"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</row>
    <row r="1525" spans="6:28"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</row>
    <row r="1526" spans="6:28"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</row>
    <row r="1527" spans="6:28"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</row>
    <row r="1528" spans="6:28"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</row>
    <row r="1529" spans="6:28"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</row>
    <row r="1530" spans="6:28"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</row>
    <row r="1531" spans="6:28"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</row>
    <row r="1532" spans="6:28"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</row>
    <row r="1533" spans="6:28"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</row>
    <row r="1534" spans="6:28"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</row>
    <row r="1535" spans="6:28"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</row>
    <row r="1536" spans="6:28"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</row>
    <row r="1537" spans="6:28"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</row>
    <row r="1538" spans="6:28"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</row>
    <row r="1539" spans="6:28"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</row>
    <row r="1540" spans="6:28"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</row>
    <row r="1541" spans="6:28"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</row>
    <row r="1542" spans="6:28"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</row>
    <row r="1543" spans="6:28"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</row>
    <row r="1544" spans="6:28"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</row>
    <row r="1545" spans="6:28"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</row>
    <row r="1546" spans="6:28"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</row>
    <row r="1547" spans="6:28"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</row>
    <row r="1548" spans="6:28"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</row>
    <row r="1549" spans="6:28"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</row>
    <row r="1550" spans="6:28"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</row>
    <row r="1551" spans="6:28"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</row>
    <row r="1552" spans="6:28"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</row>
    <row r="1553" spans="6:28"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</row>
    <row r="1554" spans="6:28"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</row>
    <row r="1555" spans="6:28"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</row>
    <row r="1556" spans="6:28"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</row>
    <row r="1557" spans="6:28"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</row>
    <row r="1558" spans="6:28"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</row>
    <row r="1559" spans="6:28"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</row>
    <row r="1560" spans="6:28"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</row>
    <row r="1561" spans="6:28"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</row>
    <row r="1562" spans="6:28"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</row>
    <row r="1563" spans="6:28"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</row>
    <row r="1564" spans="6:28"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</row>
    <row r="1565" spans="6:28"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</row>
    <row r="1566" spans="6:28"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</row>
    <row r="1567" spans="6:28"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</row>
    <row r="1568" spans="6:28"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</row>
    <row r="1569" spans="6:28"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</row>
    <row r="1570" spans="6:28"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</row>
    <row r="1571" spans="6:28"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</row>
    <row r="1572" spans="6:28"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</row>
    <row r="1573" spans="6:28"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</row>
    <row r="1574" spans="6:28"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</row>
    <row r="1575" spans="6:28"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</row>
    <row r="1576" spans="6:28"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</row>
    <row r="1577" spans="6:28"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</row>
    <row r="1578" spans="6:28"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</row>
    <row r="1579" spans="6:28"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</row>
    <row r="1580" spans="6:28"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</row>
    <row r="1581" spans="6:28"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</row>
    <row r="1582" spans="6:28"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</row>
    <row r="1583" spans="6:28"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</row>
    <row r="1584" spans="6:28"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</row>
    <row r="1585" spans="6:28"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</row>
    <row r="1586" spans="6:28"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</row>
    <row r="1587" spans="6:28"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</row>
    <row r="1588" spans="6:28"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</row>
    <row r="1589" spans="6:28"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</row>
    <row r="1590" spans="6:28"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</row>
    <row r="1591" spans="6:28"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</row>
    <row r="1592" spans="6:28"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</row>
    <row r="1593" spans="6:28"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</row>
    <row r="1594" spans="6:28"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</row>
    <row r="1595" spans="6:28"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</row>
    <row r="1596" spans="6:28"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</row>
    <row r="1597" spans="6:28"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</row>
    <row r="1598" spans="6:28"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</row>
    <row r="1599" spans="6:28"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</row>
    <row r="1600" spans="6:28"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</row>
    <row r="1601" spans="6:28"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</row>
    <row r="1602" spans="6:28"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</row>
    <row r="1603" spans="6:28"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</row>
    <row r="1604" spans="6:28"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</row>
    <row r="1605" spans="6:28"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</row>
    <row r="1606" spans="6:28"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</row>
    <row r="1607" spans="6:28"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</row>
    <row r="1608" spans="6:28"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</row>
    <row r="1609" spans="6:28"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</row>
    <row r="1610" spans="6:28"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</row>
    <row r="1611" spans="6:28"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</row>
    <row r="1612" spans="6:28"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</row>
    <row r="1613" spans="6:28"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</row>
    <row r="1614" spans="6:28"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</row>
    <row r="1615" spans="6:28"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</row>
    <row r="1616" spans="6:28"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</row>
    <row r="1617" spans="6:28"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</row>
    <row r="1618" spans="6:28"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</row>
    <row r="1619" spans="6:28"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</row>
    <row r="1620" spans="6:28"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</row>
    <row r="1621" spans="6:28"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</row>
    <row r="1622" spans="6:28"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</row>
    <row r="1623" spans="6:28"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</row>
    <row r="1624" spans="6:28"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</row>
    <row r="1625" spans="6:28"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</row>
    <row r="1626" spans="6:28"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</row>
    <row r="1627" spans="6:28"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</row>
    <row r="1628" spans="6:28"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</row>
    <row r="1629" spans="6:28"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</row>
    <row r="1630" spans="6:28"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</row>
    <row r="1631" spans="6:28"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</row>
    <row r="1632" spans="6:28"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</row>
    <row r="1633" spans="6:28"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</row>
    <row r="1634" spans="6:28"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</row>
    <row r="1635" spans="6:28"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</row>
    <row r="1636" spans="6:28"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</row>
    <row r="1637" spans="6:28"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</row>
    <row r="1638" spans="6:28"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</row>
    <row r="1639" spans="6:28"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</row>
    <row r="1640" spans="6:28"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</row>
    <row r="1641" spans="6:28"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</row>
    <row r="1642" spans="6:28"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</row>
    <row r="1643" spans="6:28"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</row>
    <row r="1644" spans="6:28"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</row>
    <row r="1645" spans="6:28"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</row>
    <row r="1646" spans="6:28"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</row>
    <row r="1647" spans="6:28"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</row>
    <row r="1648" spans="6:28"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</row>
    <row r="1649" spans="6:28"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</row>
    <row r="1650" spans="6:28"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</row>
    <row r="1651" spans="6:28"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</row>
    <row r="1652" spans="6:28"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</row>
    <row r="1653" spans="6:28"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</row>
    <row r="1654" spans="6:28"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</row>
    <row r="1655" spans="6:28"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</row>
    <row r="1656" spans="6:28"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</row>
    <row r="1657" spans="6:28"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</row>
    <row r="1658" spans="6:28"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</row>
    <row r="1659" spans="6:28"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</row>
    <row r="1660" spans="6:28"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</row>
    <row r="1661" spans="6:28"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</row>
    <row r="1662" spans="6:28"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</row>
    <row r="1663" spans="6:28"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</row>
    <row r="1664" spans="6:28"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</row>
    <row r="1665" spans="6:28"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</row>
    <row r="1666" spans="6:28"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</row>
    <row r="1667" spans="6:28"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</row>
    <row r="1668" spans="6:28"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</row>
    <row r="1669" spans="6:28"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</row>
    <row r="1670" spans="6:28"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</row>
    <row r="1671" spans="6:28"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</row>
    <row r="1672" spans="6:28"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</row>
    <row r="1673" spans="6:28"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</row>
    <row r="1674" spans="6:28"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</row>
    <row r="1675" spans="6:28"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</row>
    <row r="1676" spans="6:28"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</row>
    <row r="1677" spans="6:28"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</row>
    <row r="1678" spans="6:28"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</row>
    <row r="1679" spans="6:28"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</row>
    <row r="1680" spans="6:28"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</row>
    <row r="1681" spans="6:28"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</row>
    <row r="1682" spans="6:28"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</row>
    <row r="1683" spans="6:28"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</row>
    <row r="1684" spans="6:28"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</row>
    <row r="1685" spans="6:28"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</row>
    <row r="1686" spans="6:28"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</row>
    <row r="1687" spans="6:28"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</row>
    <row r="1688" spans="6:28"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</row>
    <row r="1689" spans="6:28"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</row>
    <row r="1690" spans="6:28"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</row>
    <row r="1691" spans="6:28"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</row>
    <row r="1692" spans="6:28"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</row>
    <row r="1693" spans="6:28"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</row>
    <row r="1694" spans="6:28"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</row>
    <row r="1695" spans="6:28"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</row>
    <row r="1696" spans="6:28"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</row>
    <row r="1697" spans="6:28"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</row>
    <row r="1698" spans="6:28"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</row>
    <row r="1699" spans="6:28"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</row>
    <row r="1700" spans="6:28"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</row>
    <row r="1701" spans="6:28"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</row>
    <row r="1702" spans="6:28"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</row>
    <row r="1703" spans="6:28"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</row>
    <row r="1704" spans="6:28"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</row>
    <row r="1705" spans="6:28"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</row>
    <row r="1706" spans="6:28"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</row>
    <row r="1707" spans="6:28"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</row>
    <row r="1708" spans="6:28"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</row>
    <row r="1709" spans="6:28"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</row>
    <row r="1710" spans="6:28"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</row>
    <row r="1711" spans="6:28"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</row>
    <row r="1712" spans="6:28"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</row>
    <row r="1713" spans="6:28"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</row>
    <row r="1714" spans="6:28"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</row>
    <row r="1715" spans="6:28"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</row>
    <row r="1716" spans="6:28"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</row>
    <row r="1717" spans="6:28"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</row>
    <row r="1718" spans="6:28"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</row>
    <row r="1719" spans="6:28"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</row>
    <row r="1720" spans="6:28"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</row>
    <row r="1721" spans="6:28"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</row>
    <row r="1722" spans="6:28"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</row>
    <row r="1723" spans="6:28"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</row>
    <row r="1724" spans="6:28"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</row>
    <row r="1725" spans="6:28"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</row>
    <row r="1726" spans="6:28"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</row>
    <row r="1727" spans="6:28"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</row>
    <row r="1728" spans="6:28"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</row>
    <row r="1729" spans="6:28"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</row>
    <row r="1730" spans="6:28"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</row>
    <row r="1731" spans="6:28"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</row>
    <row r="1732" spans="6:28"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</row>
    <row r="1733" spans="6:28"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</row>
    <row r="1734" spans="6:28"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</row>
    <row r="1735" spans="6:28"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</row>
    <row r="1736" spans="6:28"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</row>
    <row r="1737" spans="6:28"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</row>
    <row r="1738" spans="6:28"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</row>
    <row r="1739" spans="6:28"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</row>
    <row r="1740" spans="6:28"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</row>
    <row r="1741" spans="6:28"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</row>
    <row r="1742" spans="6:28"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</row>
    <row r="1743" spans="6:28"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</row>
    <row r="1744" spans="6:28"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</row>
    <row r="1745" spans="6:28"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</row>
    <row r="1746" spans="6:28"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</row>
    <row r="1747" spans="6:28"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</row>
    <row r="1748" spans="6:28"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</row>
    <row r="1749" spans="6:28"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</row>
    <row r="1750" spans="6:28"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</row>
    <row r="1751" spans="6:28"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</row>
    <row r="1752" spans="6:28"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</row>
    <row r="1753" spans="6:28"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</row>
    <row r="1754" spans="6:28"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</row>
    <row r="1755" spans="6:28"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</row>
    <row r="1756" spans="6:28"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</row>
    <row r="1757" spans="6:28"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</row>
    <row r="1758" spans="6:28"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</row>
    <row r="1759" spans="6:28"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</row>
    <row r="1760" spans="6:28"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</row>
    <row r="1761" spans="6:28"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</row>
    <row r="1762" spans="6:28"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</row>
    <row r="1763" spans="6:28"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</row>
    <row r="1764" spans="6:28"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</row>
    <row r="1765" spans="6:28"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</row>
    <row r="1766" spans="6:28"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</row>
    <row r="1767" spans="6:28"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</row>
    <row r="1768" spans="6:28"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</row>
    <row r="1769" spans="6:28"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</row>
    <row r="1770" spans="6:28"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</row>
    <row r="1771" spans="6:28"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</row>
    <row r="1772" spans="6:28"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</row>
    <row r="1773" spans="6:28"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</row>
    <row r="1774" spans="6:28"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</row>
    <row r="1775" spans="6:28"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</row>
    <row r="1776" spans="6:28"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</row>
    <row r="1777" spans="6:28"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</row>
    <row r="1778" spans="6:28"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</row>
    <row r="1779" spans="6:28"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</row>
    <row r="1780" spans="6:28"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</row>
    <row r="1781" spans="6:28"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</row>
    <row r="1782" spans="6:28"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</row>
    <row r="1783" spans="6:28"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</row>
    <row r="1784" spans="6:28"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</row>
    <row r="1785" spans="6:28"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</row>
    <row r="1786" spans="6:28"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</row>
    <row r="1787" spans="6:28"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</row>
    <row r="1788" spans="6:28"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</row>
    <row r="1789" spans="6:28"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</row>
    <row r="1790" spans="6:28"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</row>
    <row r="1791" spans="6:28"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</row>
    <row r="1792" spans="6:28"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</row>
    <row r="1793" spans="6:28"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</row>
    <row r="1794" spans="6:28"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</row>
    <row r="1795" spans="6:28"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</row>
    <row r="1796" spans="6:28"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</row>
    <row r="1797" spans="6:28"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</row>
    <row r="1798" spans="6:28"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</row>
    <row r="1799" spans="6:28"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</row>
    <row r="1800" spans="6:28"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</row>
    <row r="1801" spans="6:28"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</row>
    <row r="1802" spans="6:28"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</row>
    <row r="1803" spans="6:28"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</row>
    <row r="1804" spans="6:28"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</row>
    <row r="1805" spans="6:28"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</row>
    <row r="1806" spans="6:28"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</row>
    <row r="1807" spans="6:28"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</row>
    <row r="1808" spans="6:28"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</row>
    <row r="1809" spans="6:28"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</row>
    <row r="1810" spans="6:28"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</row>
    <row r="1811" spans="6:28"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</row>
    <row r="1812" spans="6:28"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</row>
    <row r="1813" spans="6:28"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</row>
    <row r="1814" spans="6:28"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</row>
    <row r="1815" spans="6:28"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</row>
    <row r="1816" spans="6:28"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</row>
    <row r="1817" spans="6:28"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</row>
    <row r="1818" spans="6:28"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</row>
    <row r="1819" spans="6:28"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</row>
    <row r="1820" spans="6:28"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</row>
    <row r="1821" spans="6:28"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</row>
    <row r="1822" spans="6:28"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</row>
    <row r="1823" spans="6:28"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</row>
    <row r="1824" spans="6:28"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</row>
    <row r="1825" spans="6:28"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</row>
    <row r="1826" spans="6:28"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</row>
    <row r="1827" spans="6:28"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</row>
    <row r="1828" spans="6:28"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</row>
    <row r="1829" spans="6:28"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</row>
    <row r="1830" spans="6:28"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</row>
    <row r="1831" spans="6:28"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</row>
    <row r="1832" spans="6:28"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</row>
    <row r="1833" spans="6:28"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</row>
    <row r="1834" spans="6:28"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</row>
    <row r="1835" spans="6:28"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</row>
    <row r="1836" spans="6:28"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</row>
    <row r="1837" spans="6:28"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</row>
    <row r="1838" spans="6:28"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</row>
    <row r="1839" spans="6:28"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</row>
    <row r="1840" spans="6:28"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</row>
    <row r="1841" spans="6:28"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</row>
    <row r="1842" spans="6:28"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</row>
    <row r="1843" spans="6:28"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</row>
    <row r="1844" spans="6:28"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</row>
    <row r="1845" spans="6:28"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</row>
    <row r="1846" spans="6:28"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</row>
    <row r="1847" spans="6:28"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</row>
    <row r="1848" spans="6:28"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</row>
    <row r="1849" spans="6:28"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</row>
    <row r="1850" spans="6:28"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</row>
    <row r="1851" spans="6:28"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</row>
    <row r="1852" spans="6:28"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</row>
    <row r="1853" spans="6:28"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</row>
    <row r="1854" spans="6:28"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</row>
    <row r="1855" spans="6:28"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</row>
    <row r="1856" spans="6:28"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</row>
    <row r="1857" spans="6:28"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</row>
    <row r="1858" spans="6:28"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</row>
    <row r="1859" spans="6:28"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</row>
    <row r="1860" spans="6:28"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</row>
    <row r="1861" spans="6:28"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</row>
    <row r="1862" spans="6:28"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</row>
    <row r="1863" spans="6:28"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</row>
    <row r="1864" spans="6:28"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</row>
    <row r="1865" spans="6:28"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</row>
    <row r="1866" spans="6:28"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</row>
    <row r="1867" spans="6:28"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</row>
    <row r="1868" spans="6:28"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</row>
    <row r="1869" spans="6:28"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</row>
    <row r="1870" spans="6:28"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</row>
    <row r="1871" spans="6:28"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</row>
    <row r="1872" spans="6:28"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</row>
    <row r="1873" spans="6:28"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</row>
    <row r="1874" spans="6:28"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</row>
    <row r="1875" spans="6:28"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</row>
    <row r="1876" spans="6:28"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</row>
    <row r="1877" spans="6:28"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</row>
    <row r="1878" spans="6:28"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</row>
    <row r="1879" spans="6:28"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</row>
    <row r="1880" spans="6:28"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</row>
    <row r="1881" spans="6:28"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</row>
    <row r="1882" spans="6:28"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</row>
    <row r="1883" spans="6:28"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</row>
    <row r="1884" spans="6:28"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</row>
    <row r="1885" spans="6:28"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</row>
    <row r="1886" spans="6:28"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</row>
    <row r="1887" spans="6:28"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</row>
    <row r="1888" spans="6:28"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</row>
    <row r="1889" spans="6:28"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</row>
    <row r="1890" spans="6:28"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</row>
    <row r="1891" spans="6:28"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</row>
    <row r="1892" spans="6:28"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</row>
    <row r="1893" spans="6:28"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</row>
    <row r="1894" spans="6:28"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</row>
    <row r="1895" spans="6:28"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</row>
    <row r="1896" spans="6:28"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</row>
    <row r="1897" spans="6:28"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</row>
    <row r="1898" spans="6:28"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</row>
    <row r="1899" spans="6:28"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</row>
    <row r="1900" spans="6:28"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</row>
    <row r="1901" spans="6:28"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</row>
    <row r="1902" spans="6:28"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</row>
    <row r="1903" spans="6:28"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</row>
    <row r="1904" spans="6:28"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</row>
    <row r="1905" spans="6:28"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</row>
    <row r="1906" spans="6:28"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</row>
    <row r="1907" spans="6:28"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</row>
    <row r="1908" spans="6:28"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</row>
    <row r="1909" spans="6:28"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</row>
    <row r="1910" spans="6:28"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</row>
    <row r="1911" spans="6:28"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</row>
    <row r="1912" spans="6:28"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</row>
    <row r="1913" spans="6:28"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</row>
    <row r="1914" spans="6:28"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</row>
    <row r="1915" spans="6:28"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</row>
    <row r="1916" spans="6:28"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</row>
    <row r="1917" spans="6:28"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</row>
    <row r="1918" spans="6:28"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</row>
    <row r="1919" spans="6:28"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</row>
    <row r="1920" spans="6:28"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</row>
    <row r="1921" spans="6:28"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</row>
    <row r="1922" spans="6:28"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</row>
    <row r="1923" spans="6:28"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</row>
    <row r="1924" spans="6:28"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</row>
    <row r="1925" spans="6:28"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</row>
    <row r="1926" spans="6:28"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</row>
    <row r="1927" spans="6:28"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</row>
    <row r="1928" spans="6:28"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</row>
    <row r="1929" spans="6:28"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</row>
    <row r="1930" spans="6:28"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</row>
    <row r="1931" spans="6:28"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</row>
    <row r="1932" spans="6:28"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</row>
    <row r="1933" spans="6:28"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</row>
    <row r="1934" spans="6:28"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</row>
    <row r="1935" spans="6:28"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</row>
    <row r="1936" spans="6:28"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</row>
    <row r="1937" spans="6:28"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</row>
    <row r="1938" spans="6:28"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</row>
    <row r="1939" spans="6:28"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</row>
    <row r="1940" spans="6:28"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</row>
    <row r="1941" spans="6:28"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</row>
    <row r="1942" spans="6:28"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</row>
    <row r="1943" spans="6:28"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</row>
    <row r="1944" spans="6:28"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</row>
    <row r="1945" spans="6:28"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</row>
    <row r="1946" spans="6:28"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</row>
    <row r="1947" spans="6:28"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</row>
    <row r="1948" spans="6:28"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</row>
    <row r="1949" spans="6:28"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</row>
    <row r="1950" spans="6:28"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</row>
    <row r="1951" spans="6:28"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</row>
    <row r="1952" spans="6:28"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</row>
    <row r="1953" spans="6:28"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</row>
    <row r="1954" spans="6:28"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</row>
    <row r="1955" spans="6:28"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</row>
    <row r="1956" spans="6:28"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</row>
    <row r="1957" spans="6:28"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</row>
    <row r="1958" spans="6:28"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</row>
    <row r="1959" spans="6:28"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</row>
    <row r="1960" spans="6:28"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</row>
    <row r="1961" spans="6:28"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</row>
    <row r="1962" spans="6:28"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</row>
    <row r="1963" spans="6:28"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</row>
    <row r="1964" spans="6:28"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</row>
    <row r="1965" spans="6:28"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</row>
    <row r="1966" spans="6:28"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</row>
    <row r="1967" spans="6:28"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</row>
    <row r="1968" spans="6:28"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</row>
    <row r="1969" spans="6:28"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</row>
    <row r="1970" spans="6:28"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</row>
    <row r="1971" spans="6:28"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</row>
    <row r="1972" spans="6:28"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</row>
    <row r="1973" spans="6:28"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</row>
    <row r="1974" spans="6:28"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</row>
    <row r="1975" spans="6:28"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</row>
    <row r="1976" spans="6:28"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</row>
    <row r="1977" spans="6:28"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</row>
    <row r="1978" spans="6:28"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</row>
    <row r="1979" spans="6:28"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</row>
    <row r="1980" spans="6:28"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</row>
    <row r="1981" spans="6:28"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</row>
    <row r="1982" spans="6:28"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</row>
    <row r="1983" spans="6:28"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</row>
    <row r="1984" spans="6:28"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</row>
    <row r="1985" spans="6:28"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</row>
    <row r="1986" spans="6:28"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</row>
    <row r="1987" spans="6:28"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</row>
    <row r="1988" spans="6:28"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</row>
    <row r="1989" spans="6:28"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</row>
    <row r="1990" spans="6:28"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</row>
    <row r="1991" spans="6:28"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</row>
    <row r="1992" spans="6:28"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</row>
    <row r="1993" spans="6:28"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</row>
    <row r="1994" spans="6:28"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</row>
    <row r="1995" spans="6:28"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</row>
    <row r="1996" spans="6:28"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</row>
    <row r="1997" spans="6:28"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</row>
    <row r="1998" spans="6:28"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</row>
    <row r="1999" spans="6:28"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</row>
    <row r="2000" spans="6:28"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</row>
    <row r="2001" spans="6:28"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</row>
    <row r="2002" spans="6:28"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</row>
    <row r="2003" spans="6:28"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</row>
    <row r="2004" spans="6:28"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</row>
    <row r="2005" spans="6:28"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</row>
    <row r="2006" spans="6:28"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</row>
    <row r="2007" spans="6:28"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</row>
    <row r="2008" spans="6:28"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</row>
    <row r="2009" spans="6:28"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</row>
    <row r="2010" spans="6:28"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</row>
    <row r="2011" spans="6:28"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</row>
    <row r="2012" spans="6:28"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</row>
    <row r="2013" spans="6:28"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</row>
    <row r="2014" spans="6:28"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</row>
    <row r="2015" spans="6:28"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</row>
    <row r="2016" spans="6:28"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</row>
    <row r="2017" spans="6:28"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</row>
    <row r="2018" spans="6:28"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</row>
    <row r="2019" spans="6:28"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</row>
    <row r="2020" spans="6:28"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</row>
    <row r="2021" spans="6:28"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</row>
    <row r="2022" spans="6:28"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</row>
    <row r="2023" spans="6:28"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</row>
    <row r="2024" spans="6:28"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</row>
    <row r="2025" spans="6:28"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</row>
    <row r="2026" spans="6:28"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</row>
    <row r="2027" spans="6:28"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</row>
    <row r="2028" spans="6:28"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</row>
    <row r="2029" spans="6:28"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</row>
    <row r="2030" spans="6:28"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</row>
    <row r="2031" spans="6:28"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</row>
    <row r="2032" spans="6:28"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</row>
    <row r="2033" spans="6:28"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</row>
    <row r="2034" spans="6:28"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</row>
    <row r="2035" spans="6:28"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</row>
    <row r="2036" spans="6:28"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</row>
    <row r="2037" spans="6:28"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</row>
    <row r="2038" spans="6:28"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</row>
    <row r="2039" spans="6:28"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</row>
    <row r="2040" spans="6:28"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</row>
    <row r="2041" spans="6:28"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</row>
    <row r="2042" spans="6:28"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</row>
    <row r="2043" spans="6:28"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</row>
    <row r="2044" spans="6:28"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</row>
    <row r="2045" spans="6:28"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</row>
    <row r="2046" spans="6:28"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</row>
    <row r="2047" spans="6:28"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</row>
    <row r="2048" spans="6:28"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</row>
    <row r="2049" spans="6:28"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</row>
    <row r="2050" spans="6:28"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</row>
    <row r="2051" spans="6:28"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</row>
    <row r="2052" spans="6:28"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</row>
    <row r="2053" spans="6:28"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</row>
    <row r="2054" spans="6:28"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</row>
    <row r="2055" spans="6:28"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</row>
    <row r="2056" spans="6:28"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</row>
    <row r="2057" spans="6:28"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</row>
    <row r="2058" spans="6:28"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</row>
    <row r="2059" spans="6:28"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</row>
    <row r="2060" spans="6:28"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</row>
    <row r="2061" spans="6:28"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</row>
    <row r="2062" spans="6:28"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</row>
    <row r="2063" spans="6:28"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</row>
    <row r="2064" spans="6:28"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</row>
    <row r="2065" spans="6:28"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</row>
    <row r="2066" spans="6:28"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</row>
    <row r="2067" spans="6:28"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</row>
    <row r="2068" spans="6:28"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</row>
    <row r="2069" spans="6:28"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</row>
    <row r="2070" spans="6:28"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</row>
    <row r="2071" spans="6:28"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</row>
    <row r="2072" spans="6:28"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</row>
    <row r="2073" spans="6:28"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</row>
    <row r="2074" spans="6:28"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</row>
    <row r="2075" spans="6:28"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</row>
    <row r="2076" spans="6:28"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</row>
    <row r="2077" spans="6:28"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</row>
    <row r="2078" spans="6:28"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</row>
    <row r="2079" spans="6:28"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</row>
    <row r="2080" spans="6:28"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</row>
    <row r="2081" spans="6:28"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</row>
    <row r="2082" spans="6:28"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</row>
    <row r="2083" spans="6:28"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</row>
    <row r="2084" spans="6:28"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</row>
    <row r="2085" spans="6:28"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</row>
    <row r="2086" spans="6:28"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</row>
    <row r="2087" spans="6:28"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</row>
    <row r="2088" spans="6:28"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</row>
    <row r="2089" spans="6:28"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</row>
    <row r="2090" spans="6:28"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</row>
    <row r="2091" spans="6:28"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</row>
    <row r="2092" spans="6:28"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</row>
    <row r="2093" spans="6:28"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</row>
    <row r="2094" spans="6:28"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</row>
    <row r="2095" spans="6:28"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</row>
    <row r="2096" spans="6:28"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</row>
    <row r="2097" spans="6:28"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</row>
    <row r="2098" spans="6:28"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</row>
    <row r="2099" spans="6:28"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</row>
    <row r="2100" spans="6:28"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</row>
    <row r="2101" spans="6:28"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</row>
    <row r="2102" spans="6:28"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</row>
    <row r="2103" spans="6:28"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</row>
    <row r="2104" spans="6:28"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</row>
    <row r="2105" spans="6:28"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</row>
    <row r="2106" spans="6:28"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</row>
    <row r="2107" spans="6:28"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</row>
    <row r="2108" spans="6:28"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</row>
    <row r="2109" spans="6:28"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</row>
    <row r="2110" spans="6:28"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</row>
    <row r="2111" spans="6:28"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</row>
    <row r="2112" spans="6:28"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</row>
    <row r="2113" spans="6:28"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</row>
    <row r="2114" spans="6:28"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</row>
    <row r="2115" spans="6:28"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</row>
    <row r="2116" spans="6:28"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</row>
    <row r="2117" spans="6:28"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</row>
    <row r="2118" spans="6:28"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</row>
    <row r="2119" spans="6:28"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</row>
    <row r="2120" spans="6:28"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</row>
    <row r="2121" spans="6:28"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</row>
    <row r="2122" spans="6:28"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</row>
    <row r="2123" spans="6:28"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</row>
    <row r="2124" spans="6:28"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</row>
    <row r="2125" spans="6:28"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</row>
    <row r="2126" spans="6:28"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</row>
    <row r="2127" spans="6:28"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</row>
    <row r="2128" spans="6:28"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</row>
    <row r="2129" spans="6:28"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</row>
    <row r="2130" spans="6:28"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</row>
    <row r="2131" spans="6:28"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</row>
    <row r="2132" spans="6:28"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</row>
    <row r="2133" spans="6:28"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</row>
    <row r="2134" spans="6:28"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</row>
    <row r="2135" spans="6:28"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</row>
    <row r="2136" spans="6:28"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</row>
    <row r="2137" spans="6:28"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</row>
    <row r="2138" spans="6:28"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</row>
    <row r="2139" spans="6:28"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</row>
    <row r="2140" spans="6:28"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</row>
    <row r="2141" spans="6:28"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</row>
    <row r="2142" spans="6:28"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</row>
    <row r="2143" spans="6:28"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</row>
    <row r="2144" spans="6:28"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</row>
    <row r="2145" spans="6:28"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</row>
    <row r="2146" spans="6:28"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</row>
    <row r="2147" spans="6:28"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</row>
    <row r="2148" spans="6:28"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</row>
    <row r="2149" spans="6:28"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</row>
    <row r="2150" spans="6:28"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</row>
    <row r="2151" spans="6:28"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</row>
    <row r="2152" spans="6:28"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</row>
    <row r="2153" spans="6:28"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</row>
    <row r="2154" spans="6:28"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</row>
    <row r="2155" spans="6:28"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</row>
    <row r="2156" spans="6:28"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</row>
    <row r="2157" spans="6:28"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</row>
    <row r="2158" spans="6:28"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</row>
    <row r="2159" spans="6:28"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</row>
    <row r="2160" spans="6:28"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</row>
    <row r="2161" spans="6:28"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</row>
    <row r="2162" spans="6:28"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</row>
    <row r="2163" spans="6:28"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</row>
    <row r="2164" spans="6:28"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</row>
    <row r="2165" spans="6:28"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</row>
    <row r="2166" spans="6:28"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</row>
    <row r="2167" spans="6:28"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</row>
    <row r="2168" spans="6:28"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</row>
    <row r="2169" spans="6:28"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</row>
    <row r="2170" spans="6:28"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</row>
    <row r="2171" spans="6:28"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</row>
    <row r="2172" spans="6:28"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</row>
    <row r="2173" spans="6:28"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</row>
    <row r="2174" spans="6:28"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</row>
    <row r="2175" spans="6:28"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</row>
    <row r="2176" spans="6:28"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</row>
    <row r="2177" spans="6:28"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</row>
    <row r="2178" spans="6:28"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</row>
    <row r="2179" spans="6:28"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</row>
    <row r="2180" spans="6:28"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</row>
    <row r="2181" spans="6:28"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</row>
    <row r="2182" spans="6:28"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</row>
    <row r="2183" spans="6:28"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</row>
    <row r="2184" spans="6:28"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</row>
    <row r="2185" spans="6:28"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</row>
    <row r="2186" spans="6:28"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</row>
    <row r="2187" spans="6:28"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</row>
    <row r="2188" spans="6:28"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</row>
    <row r="2189" spans="6:28"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</row>
    <row r="2190" spans="6:28"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</row>
    <row r="2191" spans="6:28"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</row>
    <row r="2192" spans="6:28"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</row>
    <row r="2193" spans="6:28"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</row>
    <row r="2194" spans="6:28"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</row>
    <row r="2195" spans="6:28"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</row>
    <row r="2196" spans="6:28"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</row>
    <row r="2197" spans="6:28"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</row>
    <row r="2198" spans="6:28"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</row>
    <row r="2199" spans="6:28"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</row>
    <row r="2200" spans="6:28"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</row>
    <row r="2201" spans="6:28"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</row>
    <row r="2202" spans="6:28"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</row>
    <row r="2203" spans="6:28"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</row>
    <row r="2204" spans="6:28"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</row>
    <row r="2205" spans="6:28"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</row>
    <row r="2206" spans="6:28"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</row>
    <row r="2207" spans="6:28"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</row>
    <row r="2208" spans="6:28"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</row>
    <row r="2209" spans="6:28"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</row>
    <row r="2210" spans="6:28"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</row>
    <row r="2211" spans="6:28"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</row>
    <row r="2212" spans="6:28"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</row>
    <row r="2213" spans="6:28"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</row>
    <row r="2214" spans="6:28"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</row>
    <row r="2215" spans="6:28"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</row>
    <row r="2216" spans="6:28"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</row>
    <row r="2217" spans="6:28"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</row>
    <row r="2218" spans="6:28"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</row>
    <row r="2219" spans="6:28"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</row>
    <row r="2220" spans="6:28"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</row>
    <row r="2221" spans="6:28"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</row>
    <row r="2222" spans="6:28"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</row>
    <row r="2223" spans="6:28"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</row>
    <row r="2224" spans="6:28"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</row>
    <row r="2225" spans="6:28"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</row>
    <row r="2226" spans="6:28"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</row>
    <row r="2227" spans="6:28"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</row>
    <row r="2228" spans="6:28"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</row>
    <row r="2229" spans="6:28"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</row>
    <row r="2230" spans="6:28"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</row>
    <row r="2231" spans="6:28"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</row>
    <row r="2232" spans="6:28"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</row>
    <row r="2233" spans="6:28"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</row>
    <row r="2234" spans="6:28"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</row>
    <row r="2235" spans="6:28"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</row>
    <row r="2236" spans="6:28"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</row>
    <row r="2237" spans="6:28"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</row>
    <row r="2238" spans="6:28"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</row>
    <row r="2239" spans="6:28"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</row>
    <row r="2240" spans="6:28"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</row>
    <row r="2241" spans="6:28"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</row>
    <row r="2242" spans="6:28"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</row>
    <row r="2243" spans="6:28"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</row>
    <row r="2244" spans="6:28"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</row>
    <row r="2245" spans="6:28"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</row>
    <row r="2246" spans="6:28"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</row>
    <row r="2247" spans="6:28"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</row>
    <row r="2248" spans="6:28"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</row>
    <row r="2249" spans="6:28"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</row>
    <row r="2250" spans="6:28"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</row>
    <row r="2251" spans="6:28"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</row>
    <row r="2252" spans="6:28"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</row>
    <row r="2253" spans="6:28"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</row>
    <row r="2254" spans="6:28"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</row>
    <row r="2255" spans="6:28"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</row>
    <row r="2256" spans="6:28"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</row>
    <row r="2257" spans="6:28"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</row>
    <row r="2258" spans="6:28"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</row>
    <row r="2259" spans="6:28"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</row>
    <row r="2260" spans="6:28"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</row>
    <row r="2261" spans="6:28"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</row>
    <row r="2262" spans="6:28"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</row>
    <row r="2263" spans="6:28"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</row>
    <row r="2264" spans="6:28"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</row>
    <row r="2265" spans="6:28"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</row>
    <row r="2266" spans="6:28"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</row>
    <row r="2267" spans="6:28"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</row>
    <row r="2268" spans="6:28"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</row>
    <row r="2269" spans="6:28"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</row>
    <row r="2270" spans="6:28"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</row>
    <row r="2271" spans="6:28"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</row>
    <row r="2272" spans="6:28"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</row>
    <row r="2273" spans="6:28"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</row>
    <row r="2274" spans="6:28"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</row>
    <row r="2275" spans="6:28"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</row>
    <row r="2276" spans="6:28"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</row>
    <row r="2277" spans="6:28"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</row>
    <row r="2278" spans="6:28"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</row>
    <row r="2279" spans="6:28"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</row>
    <row r="2280" spans="6:28"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</row>
    <row r="2281" spans="6:28"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</row>
    <row r="2282" spans="6:28"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</row>
    <row r="2283" spans="6:28"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</row>
    <row r="2284" spans="6:28"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</row>
    <row r="2285" spans="6:28"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</row>
    <row r="2286" spans="6:28"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</row>
    <row r="2287" spans="6:28"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</row>
    <row r="2288" spans="6:28"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</row>
    <row r="2289" spans="6:28"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</row>
    <row r="2290" spans="6:28"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</row>
    <row r="2291" spans="6:28"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</row>
    <row r="2292" spans="6:28"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</row>
    <row r="2293" spans="6:28"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</row>
    <row r="2294" spans="6:28"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</row>
    <row r="2295" spans="6:28"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</row>
    <row r="2296" spans="6:28"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</row>
    <row r="2297" spans="6:28"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</row>
    <row r="2298" spans="6:28"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</row>
    <row r="2299" spans="6:28"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</row>
    <row r="2300" spans="6:28"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</row>
    <row r="2301" spans="6:28"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</row>
    <row r="2302" spans="6:28"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</row>
    <row r="2303" spans="6:28"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</row>
    <row r="2304" spans="6:28"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</row>
    <row r="2305" spans="6:28"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</row>
    <row r="2306" spans="6:28"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</row>
    <row r="2307" spans="6:28"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</row>
    <row r="2308" spans="6:28"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</row>
    <row r="2309" spans="6:28"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</row>
    <row r="2310" spans="6:28"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</row>
    <row r="2311" spans="6:28"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</row>
    <row r="2312" spans="6:28"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</row>
    <row r="2313" spans="6:28"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</row>
    <row r="2314" spans="6:28"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</row>
    <row r="2315" spans="6:28"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</row>
    <row r="2316" spans="6:28"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</row>
    <row r="2317" spans="6:28"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</row>
    <row r="2318" spans="6:28"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</row>
    <row r="2319" spans="6:28"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</row>
    <row r="2320" spans="6:28"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</row>
    <row r="2321" spans="6:28"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</row>
    <row r="2322" spans="6:28"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</row>
    <row r="2323" spans="6:28"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</row>
    <row r="2324" spans="6:28"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</row>
    <row r="2325" spans="6:28"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</row>
    <row r="2326" spans="6:28"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</row>
    <row r="2327" spans="6:28"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</row>
    <row r="2328" spans="6:28"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</row>
    <row r="2329" spans="6:28"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</row>
    <row r="2330" spans="6:28"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</row>
    <row r="2331" spans="6:28"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</row>
    <row r="2332" spans="6:28"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</row>
    <row r="2333" spans="6:28"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</row>
    <row r="2334" spans="6:28"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</row>
    <row r="2335" spans="6:28"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</row>
    <row r="2336" spans="6:28"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</row>
    <row r="2337" spans="6:28"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</row>
    <row r="2338" spans="6:28"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</row>
    <row r="2339" spans="6:28"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</row>
    <row r="2340" spans="6:28"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</row>
    <row r="2341" spans="6:28"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</row>
    <row r="2342" spans="6:28"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</row>
    <row r="2343" spans="6:28"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</row>
    <row r="2344" spans="6:28"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</row>
    <row r="2345" spans="6:28"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</row>
    <row r="2346" spans="6:28"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</row>
    <row r="2347" spans="6:28"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</row>
    <row r="2348" spans="6:28"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</row>
    <row r="2349" spans="6:28"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</row>
    <row r="2350" spans="6:28"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</row>
    <row r="2351" spans="6:28"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</row>
    <row r="2352" spans="6:28"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</row>
    <row r="2353" spans="6:28"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</row>
    <row r="2354" spans="6:28"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</row>
    <row r="2355" spans="6:28"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</row>
    <row r="2356" spans="6:28"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</row>
    <row r="2357" spans="6:28"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</row>
    <row r="2358" spans="6:28"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</row>
    <row r="2359" spans="6:28"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</row>
    <row r="2360" spans="6:28"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</row>
    <row r="2361" spans="6:28"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</row>
    <row r="2362" spans="6:28"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</row>
    <row r="2363" spans="6:28"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</row>
    <row r="2364" spans="6:28"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</row>
    <row r="2365" spans="6:28"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</row>
    <row r="2366" spans="6:28"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</row>
    <row r="2367" spans="6:28"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</row>
    <row r="2368" spans="6:28"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</row>
    <row r="2369" spans="6:28"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</row>
    <row r="2370" spans="6:28"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</row>
    <row r="2371" spans="6:28"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</row>
    <row r="2372" spans="6:28"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</row>
    <row r="2373" spans="6:28"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</row>
    <row r="2374" spans="6:28"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</row>
    <row r="2375" spans="6:28"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</row>
    <row r="2376" spans="6:28"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</row>
    <row r="2377" spans="6:28"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</row>
    <row r="2378" spans="6:28"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</row>
    <row r="2379" spans="6:28"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</row>
    <row r="2380" spans="6:28"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</row>
    <row r="2381" spans="6:28"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</row>
    <row r="2382" spans="6:28"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</row>
    <row r="2383" spans="6:28"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</row>
    <row r="2384" spans="6:28"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</row>
    <row r="2385" spans="6:28"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</row>
    <row r="2386" spans="6:28"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</row>
    <row r="2387" spans="6:28"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</row>
    <row r="2388" spans="6:28"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</row>
    <row r="2389" spans="6:28"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</row>
    <row r="2390" spans="6:28"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</row>
    <row r="2391" spans="6:28"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</row>
    <row r="2392" spans="6:28"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</row>
    <row r="2393" spans="6:28"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</row>
    <row r="2394" spans="6:28"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</row>
    <row r="2395" spans="6:28"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</row>
    <row r="2396" spans="6:28"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</row>
    <row r="2397" spans="6:28"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</row>
    <row r="2398" spans="6:28"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</row>
    <row r="2399" spans="6:28"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</row>
    <row r="2400" spans="6:28"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</row>
    <row r="2401" spans="6:28"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</row>
    <row r="2402" spans="6:28"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</row>
    <row r="2403" spans="6:28"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</row>
    <row r="2404" spans="6:28"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</row>
    <row r="2405" spans="6:28"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</row>
    <row r="2406" spans="6:28"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</row>
    <row r="2407" spans="6:28"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</row>
    <row r="2408" spans="6:28"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</row>
    <row r="2409" spans="6:28"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</row>
    <row r="2410" spans="6:28"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</row>
    <row r="2411" spans="6:28"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</row>
    <row r="2412" spans="6:28"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</row>
    <row r="2413" spans="6:28"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</row>
    <row r="2414" spans="6:28"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</row>
    <row r="2415" spans="6:28"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</row>
    <row r="2416" spans="6:28"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</row>
    <row r="2417" spans="6:28"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</row>
    <row r="2418" spans="6:28"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</row>
    <row r="2419" spans="6:28"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</row>
    <row r="2420" spans="6:28"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</row>
    <row r="2421" spans="6:28"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</row>
    <row r="2422" spans="6:28"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</row>
    <row r="2423" spans="6:28"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</row>
    <row r="2424" spans="6:28"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</row>
    <row r="2425" spans="6:28"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</row>
    <row r="2426" spans="6:28"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</row>
    <row r="2427" spans="6:28"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</row>
    <row r="2428" spans="6:28"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</row>
    <row r="2429" spans="6:28"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</row>
    <row r="2430" spans="6:28"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</row>
    <row r="2431" spans="6:28"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</row>
    <row r="2432" spans="6:28"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</row>
    <row r="2433" spans="6:28"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</row>
    <row r="2434" spans="6:28"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</row>
    <row r="2435" spans="6:28"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</row>
    <row r="2436" spans="6:28"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</row>
    <row r="2437" spans="6:28"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</row>
    <row r="2438" spans="6:28"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</row>
    <row r="2439" spans="6:28"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</row>
    <row r="2440" spans="6:28"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</row>
    <row r="2441" spans="6:28"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</row>
    <row r="2442" spans="6:28"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</row>
    <row r="2443" spans="6:28"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</row>
    <row r="2444" spans="6:28"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</row>
    <row r="2445" spans="6:28"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</row>
    <row r="2446" spans="6:28"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</row>
    <row r="2447" spans="6:28"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</row>
    <row r="2448" spans="6:28"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</row>
    <row r="2449" spans="6:28"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</row>
    <row r="2450" spans="6:28"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</row>
    <row r="2451" spans="6:28"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</row>
    <row r="2452" spans="6:28"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</row>
    <row r="2453" spans="6:28"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</row>
    <row r="2454" spans="6:28"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</row>
    <row r="2455" spans="6:28"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</row>
    <row r="2456" spans="6:28"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</row>
    <row r="2457" spans="6:28"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</row>
    <row r="2458" spans="6:28"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</row>
    <row r="2459" spans="6:28"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</row>
    <row r="2460" spans="6:28"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</row>
    <row r="2461" spans="6:28"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</row>
    <row r="2462" spans="6:28"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</row>
    <row r="2463" spans="6:28"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</row>
    <row r="2464" spans="6:28"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</row>
    <row r="2465" spans="6:28"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</row>
    <row r="2466" spans="6:28"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</row>
    <row r="2467" spans="6:28"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</row>
    <row r="2468" spans="6:28"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</row>
    <row r="2469" spans="6:28"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</row>
    <row r="2470" spans="6:28"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</row>
    <row r="2471" spans="6:28"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</row>
    <row r="2472" spans="6:28"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</row>
    <row r="2473" spans="6:28"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</row>
    <row r="2474" spans="6:28"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</row>
    <row r="2475" spans="6:28"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</row>
    <row r="2476" spans="6:28"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</row>
    <row r="2477" spans="6:28"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</row>
    <row r="2478" spans="6:28"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</row>
    <row r="2479" spans="6:28"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</row>
    <row r="2480" spans="6:28"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</row>
    <row r="2481" spans="6:28"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</row>
    <row r="2482" spans="6:28"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</row>
    <row r="2483" spans="6:28"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</row>
    <row r="2484" spans="6:28"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</row>
    <row r="2485" spans="6:28"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</row>
    <row r="2486" spans="6:28"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</row>
    <row r="2487" spans="6:28"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</row>
    <row r="2488" spans="6:28"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</row>
    <row r="2489" spans="6:28"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</row>
    <row r="2490" spans="6:28"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</row>
    <row r="2491" spans="6:28"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</row>
    <row r="2492" spans="6:28"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</row>
    <row r="2493" spans="6:28"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</row>
    <row r="2494" spans="6:28"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</row>
    <row r="2495" spans="6:28"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</row>
    <row r="2496" spans="6:28"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</row>
    <row r="2497" spans="6:28"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</row>
    <row r="2498" spans="6:28"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</row>
    <row r="2499" spans="6:28"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</row>
    <row r="2500" spans="6:28"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</row>
    <row r="2501" spans="6:28"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</row>
    <row r="2502" spans="6:28"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</row>
    <row r="2503" spans="6:28"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</row>
    <row r="2504" spans="6:28"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</row>
    <row r="2505" spans="6:28"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</row>
    <row r="2506" spans="6:28"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</row>
    <row r="2507" spans="6:28"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</row>
    <row r="2508" spans="6:28"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</row>
    <row r="2509" spans="6:28"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</row>
    <row r="2510" spans="6:28"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</row>
    <row r="2511" spans="6:28"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</row>
    <row r="2512" spans="6:28"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</row>
    <row r="2513" spans="6:28"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</row>
    <row r="2514" spans="6:28"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</row>
    <row r="2515" spans="6:28"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</row>
    <row r="2516" spans="6:28"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</row>
    <row r="2517" spans="6:28"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</row>
    <row r="2518" spans="6:28"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</row>
    <row r="2519" spans="6:28"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</row>
    <row r="2520" spans="6:28"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</row>
    <row r="2521" spans="6:28"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</row>
    <row r="2522" spans="6:28"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</row>
    <row r="2523" spans="6:28"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</row>
    <row r="2524" spans="6:28"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</row>
    <row r="2525" spans="6:28"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</row>
    <row r="2526" spans="6:28"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</row>
    <row r="2527" spans="6:28"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</row>
    <row r="2528" spans="6:28"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</row>
    <row r="2529" spans="6:28"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</row>
    <row r="2530" spans="6:28"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</row>
    <row r="2531" spans="6:28"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</row>
    <row r="2532" spans="6:28"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</row>
    <row r="2533" spans="6:28"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</row>
    <row r="2534" spans="6:28"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</row>
    <row r="2535" spans="6:28"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</row>
    <row r="2536" spans="6:28"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</row>
    <row r="2537" spans="6:28"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</row>
    <row r="2538" spans="6:28"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</row>
    <row r="2539" spans="6:28"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</row>
    <row r="2540" spans="6:28"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</row>
    <row r="2541" spans="6:28"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</row>
    <row r="2542" spans="6:28"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</row>
    <row r="2543" spans="6:28"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</row>
    <row r="2544" spans="6:28"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</row>
    <row r="2545" spans="6:28"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</row>
    <row r="2546" spans="6:28"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</row>
    <row r="2547" spans="6:28"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</row>
    <row r="2548" spans="6:28"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</row>
    <row r="2549" spans="6:28"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</row>
    <row r="2550" spans="6:28"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</row>
    <row r="2551" spans="6:28"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</row>
    <row r="2552" spans="6:28"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</row>
    <row r="2553" spans="6:28"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</row>
    <row r="2554" spans="6:28"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</row>
    <row r="2555" spans="6:28"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</row>
    <row r="2556" spans="6:28"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</row>
    <row r="2557" spans="6:28"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</row>
    <row r="2558" spans="6:28"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</row>
    <row r="2559" spans="6:28"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</row>
    <row r="2560" spans="6:28"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</row>
    <row r="2561" spans="6:28"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</row>
    <row r="2562" spans="6:28"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</row>
    <row r="2563" spans="6:28"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</row>
    <row r="2564" spans="6:28"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</row>
    <row r="2565" spans="6:28"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</row>
    <row r="2566" spans="6:28"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</row>
    <row r="2567" spans="6:28"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</row>
    <row r="2568" spans="6:28"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</row>
    <row r="2569" spans="6:28"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</row>
    <row r="2570" spans="6:28"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</row>
    <row r="2571" spans="6:28"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</row>
    <row r="2572" spans="6:28"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</row>
    <row r="2573" spans="6:28"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</row>
    <row r="2574" spans="6:28"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</row>
    <row r="2575" spans="6:28"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</row>
    <row r="2576" spans="6:28"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</row>
    <row r="2577" spans="6:28"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</row>
    <row r="2578" spans="6:28"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</row>
    <row r="2579" spans="6:28"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</row>
    <row r="2580" spans="6:28"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</row>
    <row r="2581" spans="6:28"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</row>
    <row r="2582" spans="6:28"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</row>
    <row r="2583" spans="6:28"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</row>
    <row r="2584" spans="6:28"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</row>
    <row r="2585" spans="6:28"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</row>
    <row r="2586" spans="6:28"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</row>
    <row r="2587" spans="6:28"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</row>
    <row r="2588" spans="6:28"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</row>
    <row r="2589" spans="6:28"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</row>
    <row r="2590" spans="6:28"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</row>
    <row r="2591" spans="6:28"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</row>
    <row r="2592" spans="6:28"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</row>
    <row r="2593" spans="6:28"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</row>
    <row r="2594" spans="6:28"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</row>
    <row r="2595" spans="6:28"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</row>
    <row r="2596" spans="6:28"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</row>
    <row r="2597" spans="6:28"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</row>
    <row r="2598" spans="6:28"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</row>
    <row r="2599" spans="6:28"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</row>
    <row r="2600" spans="6:28"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</row>
    <row r="2601" spans="6:28"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</row>
    <row r="2602" spans="6:28"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</row>
    <row r="2603" spans="6:28"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</row>
    <row r="2604" spans="6:28"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</row>
    <row r="2605" spans="6:28"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</row>
    <row r="2606" spans="6:28"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</row>
    <row r="2607" spans="6:28"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</row>
    <row r="2608" spans="6:28"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</row>
    <row r="2609" spans="6:28"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</row>
    <row r="2610" spans="6:28"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</row>
    <row r="2611" spans="6:28"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</row>
    <row r="2612" spans="6:28"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</row>
    <row r="2613" spans="6:28"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</row>
    <row r="2614" spans="6:28"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</row>
    <row r="2615" spans="6:28"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</row>
    <row r="2616" spans="6:28"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</row>
    <row r="2617" spans="6:28"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</row>
    <row r="2618" spans="6:28"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</row>
    <row r="2619" spans="6:28"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</row>
    <row r="2620" spans="6:28"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</row>
    <row r="2621" spans="6:28"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</row>
    <row r="2622" spans="6:28"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</row>
    <row r="2623" spans="6:28"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</row>
    <row r="2624" spans="6:28"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</row>
    <row r="2625" spans="6:28"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</row>
    <row r="2626" spans="6:28"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</row>
    <row r="2627" spans="6:28"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</row>
    <row r="2628" spans="6:28"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</row>
    <row r="2629" spans="6:28"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</row>
    <row r="2630" spans="6:28"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</row>
    <row r="2631" spans="6:28"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</row>
    <row r="2632" spans="6:28"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</row>
    <row r="2633" spans="6:28"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</row>
    <row r="2634" spans="6:28"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</row>
    <row r="2635" spans="6:28"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</row>
    <row r="2636" spans="6:28"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</row>
    <row r="2637" spans="6:28"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</row>
    <row r="2638" spans="6:28"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</row>
    <row r="2639" spans="6:28"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</row>
    <row r="2640" spans="6:28"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</row>
    <row r="2641" spans="6:28"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</row>
    <row r="2642" spans="6:28"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</row>
    <row r="2643" spans="6:28"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</row>
    <row r="2644" spans="6:28"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</row>
    <row r="2645" spans="6:28"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</row>
    <row r="2646" spans="6:28"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</row>
    <row r="2647" spans="6:28"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</row>
    <row r="2648" spans="6:28"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</row>
    <row r="2649" spans="6:28"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</row>
    <row r="2650" spans="6:28"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</row>
    <row r="2651" spans="6:28"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</row>
    <row r="2652" spans="6:28"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</row>
    <row r="2653" spans="6:28"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</row>
    <row r="2654" spans="6:28"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</row>
    <row r="2655" spans="6:28"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</row>
    <row r="2656" spans="6:28"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</row>
    <row r="2657" spans="6:28"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</row>
    <row r="2658" spans="6:28"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</row>
    <row r="2659" spans="6:28"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</row>
    <row r="2660" spans="6:28"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</row>
    <row r="2661" spans="6:28"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</row>
    <row r="2662" spans="6:28"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</row>
    <row r="2663" spans="6:28"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</row>
    <row r="2664" spans="6:28"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</row>
    <row r="2665" spans="6:28"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</row>
    <row r="2666" spans="6:28"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</row>
    <row r="2667" spans="6:28"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</row>
    <row r="2668" spans="6:28"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</row>
    <row r="2669" spans="6:28"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</row>
    <row r="2670" spans="6:28"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</row>
    <row r="2671" spans="6:28"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</row>
    <row r="2672" spans="6:28"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</row>
    <row r="2673" spans="6:28"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</row>
    <row r="2674" spans="6:28"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</row>
    <row r="2675" spans="6:28"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</row>
    <row r="2676" spans="6:28"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</row>
    <row r="2677" spans="6:28"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</row>
    <row r="2678" spans="6:28"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</row>
    <row r="2679" spans="6:28"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</row>
    <row r="2680" spans="6:28"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</row>
    <row r="2681" spans="6:28"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</row>
    <row r="2682" spans="6:28"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</row>
    <row r="2683" spans="6:28"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</row>
    <row r="2684" spans="6:28"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</row>
    <row r="2685" spans="6:28"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</row>
    <row r="2686" spans="6:28"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</row>
    <row r="2687" spans="6:28"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</row>
    <row r="2688" spans="6:28"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</row>
    <row r="2689" spans="6:28"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</row>
    <row r="2690" spans="6:28"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</row>
    <row r="2691" spans="6:28"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</row>
    <row r="2692" spans="6:28"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</row>
    <row r="2693" spans="6:28"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</row>
    <row r="2694" spans="6:28"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</row>
    <row r="2695" spans="6:28"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</row>
    <row r="2696" spans="6:28"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</row>
    <row r="2697" spans="6:28"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</row>
    <row r="2698" spans="6:28"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</row>
    <row r="2699" spans="6:28"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</row>
    <row r="2700" spans="6:28"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</row>
    <row r="2701" spans="6:28"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</row>
    <row r="2702" spans="6:28"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</row>
    <row r="2703" spans="6:28"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</row>
    <row r="2704" spans="6:28"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</row>
    <row r="2705" spans="6:28"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</row>
    <row r="2706" spans="6:28"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</row>
    <row r="2707" spans="6:28"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</row>
    <row r="2708" spans="6:28"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</row>
    <row r="2709" spans="6:28"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</row>
    <row r="2710" spans="6:28"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</row>
    <row r="2711" spans="6:28"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</row>
    <row r="2712" spans="6:28"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</row>
    <row r="2713" spans="6:28"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</row>
    <row r="2714" spans="6:28"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</row>
    <row r="2715" spans="6:28"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</row>
    <row r="2716" spans="6:28"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</row>
    <row r="2717" spans="6:28"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</row>
    <row r="2718" spans="6:28"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</row>
    <row r="2719" spans="6:28"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</row>
    <row r="2720" spans="6:28"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</row>
    <row r="2721" spans="6:28"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</row>
    <row r="2722" spans="6:28"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</row>
    <row r="2723" spans="6:28"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</row>
    <row r="2724" spans="6:28"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</row>
    <row r="2725" spans="6:28"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</row>
    <row r="2726" spans="6:28"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</row>
    <row r="2727" spans="6:28"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</row>
    <row r="2728" spans="6:28"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</row>
    <row r="2729" spans="6:28"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</row>
    <row r="2730" spans="6:28"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</row>
    <row r="2731" spans="6:28"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</row>
    <row r="2732" spans="6:28"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</row>
    <row r="2733" spans="6:28"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</row>
    <row r="2734" spans="6:28"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</row>
    <row r="2735" spans="6:28"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</row>
    <row r="2736" spans="6:28"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</row>
    <row r="2737" spans="6:28"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</row>
    <row r="2738" spans="6:28"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</row>
    <row r="2739" spans="6:28"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</row>
    <row r="2740" spans="6:28"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</row>
    <row r="2741" spans="6:28"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</row>
    <row r="2742" spans="6:28"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</row>
    <row r="2743" spans="6:28"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</row>
    <row r="2744" spans="6:28"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</row>
    <row r="2745" spans="6:28"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</row>
    <row r="2746" spans="6:28"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</row>
    <row r="2747" spans="6:28"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</row>
    <row r="2748" spans="6:28"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</row>
    <row r="2749" spans="6:28"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</row>
    <row r="2750" spans="6:28"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</row>
    <row r="2751" spans="6:28"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</row>
    <row r="2752" spans="6:28"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</row>
    <row r="2753" spans="6:28"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</row>
    <row r="2754" spans="6:28"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</row>
    <row r="2755" spans="6:28"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</row>
    <row r="2756" spans="6:28"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</row>
    <row r="2757" spans="6:28"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</row>
    <row r="2758" spans="6:28"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</row>
    <row r="2759" spans="6:28"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</row>
    <row r="2760" spans="6:28"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</row>
    <row r="2761" spans="6:28"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</row>
    <row r="2762" spans="6:28"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</row>
    <row r="2763" spans="6:28"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</row>
    <row r="2764" spans="6:28"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</row>
    <row r="2765" spans="6:28"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</row>
    <row r="2766" spans="6:28"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</row>
    <row r="2767" spans="6:28"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</row>
    <row r="2768" spans="6:28"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</row>
    <row r="2769" spans="6:28"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</row>
    <row r="2770" spans="6:28"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</row>
    <row r="2771" spans="6:28"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</row>
    <row r="2772" spans="6:28"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</row>
    <row r="2773" spans="6:28"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</row>
    <row r="2774" spans="6:28"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</row>
    <row r="2775" spans="6:28"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</row>
    <row r="2776" spans="6:28"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</row>
    <row r="2777" spans="6:28"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</row>
    <row r="2778" spans="6:28"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</row>
    <row r="2779" spans="6:28"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</row>
    <row r="2780" spans="6:28"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</row>
    <row r="2781" spans="6:28"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</row>
    <row r="2782" spans="6:28"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</row>
    <row r="2783" spans="6:28"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</row>
    <row r="2784" spans="6:28"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</row>
    <row r="2785" spans="6:28"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</row>
    <row r="2786" spans="6:28"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</row>
    <row r="2787" spans="6:28"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</row>
    <row r="2788" spans="6:28"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</row>
    <row r="2789" spans="6:28"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</row>
    <row r="2790" spans="6:28"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</row>
    <row r="2791" spans="6:28"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</row>
    <row r="2792" spans="6:28"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</row>
    <row r="2793" spans="6:28"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</row>
    <row r="2794" spans="6:28"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</row>
    <row r="2795" spans="6:28"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</row>
    <row r="2796" spans="6:28"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</row>
    <row r="2797" spans="6:28"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</row>
    <row r="2798" spans="6:28"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</row>
    <row r="2799" spans="6:28"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</row>
    <row r="2800" spans="6:28"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</row>
    <row r="2801" spans="6:28"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</row>
    <row r="2802" spans="6:28"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</row>
    <row r="2803" spans="6:28"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</row>
    <row r="2804" spans="6:28"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</row>
    <row r="2805" spans="6:28"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</row>
    <row r="2806" spans="6:28"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</row>
    <row r="2807" spans="6:28"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</row>
    <row r="2808" spans="6:28"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</row>
    <row r="2809" spans="6:28"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</row>
    <row r="2810" spans="6:28"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</row>
    <row r="2811" spans="6:28"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</row>
    <row r="2812" spans="6:28"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</row>
    <row r="2813" spans="6:28"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</row>
    <row r="2814" spans="6:28"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</row>
    <row r="2815" spans="6:28"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</row>
    <row r="2816" spans="6:28"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</row>
    <row r="2817" spans="6:28"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</row>
    <row r="2818" spans="6:28"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</row>
    <row r="2819" spans="6:28"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</row>
    <row r="2820" spans="6:28"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</row>
    <row r="2821" spans="6:28"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</row>
    <row r="2822" spans="6:28"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</row>
    <row r="2823" spans="6:28"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</row>
    <row r="2824" spans="6:28"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</row>
    <row r="2825" spans="6:28"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</row>
    <row r="2826" spans="6:28"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</row>
    <row r="2827" spans="6:28"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</row>
    <row r="2828" spans="6:28"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</row>
    <row r="2829" spans="6:28"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</row>
    <row r="2830" spans="6:28"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</row>
    <row r="2831" spans="6:28"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</row>
    <row r="2832" spans="6:28"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</row>
    <row r="2833" spans="6:28"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</row>
    <row r="2834" spans="6:28"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</row>
    <row r="2835" spans="6:28"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</row>
    <row r="2836" spans="6:28"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</row>
    <row r="2837" spans="6:28"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</row>
    <row r="2838" spans="6:28"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</row>
    <row r="2839" spans="6:28"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</row>
    <row r="2840" spans="6:28"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</row>
    <row r="2841" spans="6:28"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</row>
    <row r="2842" spans="6:28"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</row>
    <row r="2843" spans="6:28"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</row>
    <row r="2844" spans="6:28"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</row>
    <row r="2845" spans="6:28"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</row>
    <row r="2846" spans="6:28"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</row>
    <row r="2847" spans="6:28"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</row>
    <row r="2848" spans="6:28"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</row>
    <row r="2849" spans="6:28"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</row>
    <row r="2850" spans="6:28"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</row>
    <row r="2851" spans="6:28"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</row>
    <row r="2852" spans="6:28"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</row>
    <row r="2853" spans="6:28"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</row>
    <row r="2854" spans="6:28"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</row>
    <row r="2855" spans="6:28"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</row>
    <row r="2856" spans="6:28"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</row>
    <row r="2857" spans="6:28"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</row>
    <row r="2858" spans="6:28"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</row>
    <row r="2859" spans="6:28"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</row>
    <row r="2860" spans="6:28"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</row>
    <row r="2861" spans="6:28"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</row>
    <row r="2862" spans="6:28"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</row>
    <row r="2863" spans="6:28"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</row>
    <row r="2864" spans="6:28"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</row>
    <row r="2865" spans="6:28"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</row>
    <row r="2866" spans="6:28"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</row>
    <row r="2867" spans="6:28"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</row>
    <row r="2868" spans="6:28"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</row>
    <row r="2869" spans="6:28"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</row>
    <row r="2870" spans="6:28"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</row>
    <row r="2871" spans="6:28"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</row>
    <row r="2872" spans="6:28"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</row>
    <row r="2873" spans="6:28"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</row>
    <row r="2874" spans="6:28"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</row>
    <row r="2875" spans="6:28"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</row>
    <row r="2876" spans="6:28"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</row>
    <row r="2877" spans="6:28"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</row>
    <row r="2878" spans="6:28"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</row>
    <row r="2879" spans="6:28"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</row>
    <row r="2880" spans="6:28"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</row>
    <row r="2881" spans="6:28"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</row>
    <row r="2882" spans="6:28"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</row>
    <row r="2883" spans="6:28"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</row>
    <row r="2884" spans="6:28"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</row>
    <row r="2885" spans="6:28"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</row>
    <row r="2886" spans="6:28"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</row>
    <row r="2887" spans="6:28"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</row>
    <row r="2888" spans="6:28"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</row>
    <row r="2889" spans="6:28"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</row>
    <row r="2890" spans="6:28"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</row>
    <row r="2891" spans="6:28"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</row>
    <row r="2892" spans="6:28"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</row>
    <row r="2893" spans="6:28"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</row>
    <row r="2894" spans="6:28"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</row>
    <row r="2895" spans="6:28"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</row>
    <row r="2896" spans="6:28"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</row>
    <row r="2897" spans="6:28"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</row>
    <row r="2898" spans="6:28"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</row>
    <row r="2899" spans="6:28"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</row>
    <row r="2900" spans="6:28"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</row>
    <row r="2901" spans="6:28"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</row>
    <row r="2902" spans="6:28"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</row>
    <row r="2903" spans="6:28"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</row>
    <row r="2904" spans="6:28"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</row>
    <row r="2905" spans="6:28"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</row>
    <row r="2906" spans="6:28"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</row>
    <row r="2907" spans="6:28"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</row>
    <row r="2908" spans="6:28"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</row>
    <row r="2909" spans="6:28"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</row>
    <row r="2910" spans="6:28"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</row>
    <row r="2911" spans="6:28"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</row>
    <row r="2912" spans="6:28"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</row>
    <row r="2913" spans="6:28"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</row>
    <row r="2914" spans="6:28"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</row>
    <row r="2915" spans="6:28"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</row>
    <row r="2916" spans="6:28"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</row>
    <row r="2917" spans="6:28"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</row>
    <row r="2918" spans="6:28"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</row>
    <row r="2919" spans="6:28"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</row>
    <row r="2920" spans="6:28"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</row>
    <row r="2921" spans="6:28"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</row>
    <row r="2922" spans="6:28"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</row>
    <row r="2923" spans="6:28"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</row>
    <row r="2924" spans="6:28"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</row>
    <row r="2925" spans="6:28"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</row>
    <row r="2926" spans="6:28"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</row>
    <row r="2927" spans="6:28"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</row>
    <row r="2928" spans="6:28"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</row>
    <row r="2929" spans="6:28"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</row>
    <row r="2930" spans="6:28"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</row>
    <row r="2931" spans="6:28"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</row>
    <row r="2932" spans="6:28"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</row>
    <row r="2933" spans="6:28"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</row>
    <row r="2934" spans="6:28"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</row>
    <row r="2935" spans="6:28"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</row>
    <row r="2936" spans="6:28"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</row>
    <row r="2937" spans="6:28"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</row>
    <row r="2938" spans="6:28"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</row>
    <row r="2939" spans="6:28"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</row>
    <row r="2940" spans="6:28"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</row>
    <row r="2941" spans="6:28"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</row>
    <row r="2942" spans="6:28"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</row>
    <row r="2943" spans="6:28"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</row>
    <row r="2944" spans="6:28"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</row>
    <row r="2945" spans="6:28"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</row>
    <row r="2946" spans="6:28"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</row>
    <row r="2947" spans="6:28"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</row>
    <row r="2948" spans="6:28"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</row>
    <row r="2949" spans="6:28"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</row>
    <row r="2950" spans="6:28"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</row>
    <row r="2951" spans="6:28"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</row>
    <row r="2952" spans="6:28"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</row>
    <row r="2953" spans="6:28"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</row>
    <row r="2954" spans="6:28"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</row>
    <row r="2955" spans="6:28"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</row>
    <row r="2956" spans="6:28"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</row>
    <row r="2957" spans="6:28"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</row>
    <row r="2958" spans="6:28"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</row>
    <row r="2959" spans="6:28"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</row>
    <row r="2960" spans="6:28"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</row>
    <row r="2961" spans="6:28"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</row>
    <row r="2962" spans="6:28"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</row>
    <row r="2963" spans="6:28"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</row>
    <row r="2964" spans="6:28"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</row>
    <row r="2965" spans="6:28"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</row>
    <row r="2966" spans="6:28"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</row>
    <row r="2967" spans="6:28"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</row>
    <row r="2968" spans="6:28"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</row>
    <row r="2969" spans="6:28"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</row>
    <row r="2970" spans="6:28"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</row>
    <row r="2971" spans="6:28"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</row>
    <row r="2972" spans="6:28"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</row>
    <row r="2973" spans="6:28"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</row>
    <row r="2974" spans="6:28"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</row>
    <row r="2975" spans="6:28"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</row>
    <row r="2976" spans="6:28"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</row>
    <row r="2977" spans="6:28"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</row>
    <row r="2978" spans="6:28"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</row>
    <row r="2979" spans="6:28"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</row>
    <row r="2980" spans="6:28"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</row>
    <row r="2981" spans="6:28"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</row>
    <row r="2982" spans="6:28"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</row>
    <row r="2983" spans="6:28"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</row>
    <row r="2984" spans="6:28"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</row>
    <row r="2985" spans="6:28"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</row>
    <row r="2986" spans="6:28"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</row>
    <row r="2987" spans="6:28"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</row>
    <row r="2988" spans="6:28"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</row>
    <row r="2989" spans="6:28"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</row>
    <row r="2990" spans="6:28"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</row>
    <row r="2991" spans="6:28"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</row>
    <row r="2992" spans="6:28"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</row>
    <row r="2993" spans="6:28"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</row>
    <row r="2994" spans="6:28"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</row>
    <row r="2995" spans="6:28"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</row>
    <row r="2996" spans="6:28"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</row>
    <row r="2997" spans="6:28"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</row>
    <row r="2998" spans="6:28"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</row>
    <row r="2999" spans="6:28"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</row>
    <row r="3000" spans="6:28"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</row>
    <row r="3001" spans="6:28"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</row>
    <row r="3002" spans="6:28"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</row>
    <row r="3003" spans="6:28"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</row>
    <row r="3004" spans="6:28"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</row>
    <row r="3005" spans="6:28"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</row>
    <row r="3006" spans="6:28"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</row>
    <row r="3007" spans="6:28"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</row>
    <row r="3008" spans="6:28"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</row>
    <row r="3009" spans="6:28"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</row>
    <row r="3010" spans="6:28"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</row>
    <row r="3011" spans="6:28"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</row>
    <row r="3012" spans="6:28"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</row>
    <row r="3013" spans="6:28"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</row>
    <row r="3014" spans="6:28"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</row>
    <row r="3015" spans="6:28"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</row>
    <row r="3016" spans="6:28"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</row>
    <row r="3017" spans="6:28"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</row>
    <row r="3018" spans="6:28"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</row>
    <row r="3019" spans="6:28"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</row>
    <row r="3020" spans="6:28"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</row>
    <row r="3021" spans="6:28"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</row>
    <row r="3022" spans="6:28"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</row>
    <row r="3023" spans="6:28"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</row>
    <row r="3024" spans="6:28"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</row>
    <row r="3025" spans="6:28"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</row>
    <row r="3026" spans="6:28"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</row>
    <row r="3027" spans="6:28"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</row>
    <row r="3028" spans="6:28"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</row>
    <row r="3029" spans="6:28"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</row>
    <row r="3030" spans="6:28"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</row>
    <row r="3031" spans="6:28"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</row>
    <row r="3032" spans="6:28"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</row>
    <row r="3033" spans="6:28"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</row>
    <row r="3034" spans="6:28"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</row>
    <row r="3035" spans="6:28"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</row>
    <row r="3036" spans="6:28"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</row>
    <row r="3037" spans="6:28"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</row>
    <row r="3038" spans="6:28"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</row>
    <row r="3039" spans="6:28"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</row>
    <row r="3040" spans="6:28"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</row>
    <row r="3041" spans="6:28"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</row>
    <row r="3042" spans="6:28"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</row>
    <row r="3043" spans="6:28"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</row>
    <row r="3044" spans="6:28"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</row>
    <row r="3045" spans="6:28"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</row>
    <row r="3046" spans="6:28"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</row>
    <row r="3047" spans="6:28"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</row>
    <row r="3048" spans="6:28"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</row>
    <row r="3049" spans="6:28"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</row>
    <row r="3050" spans="6:28"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</row>
    <row r="3051" spans="6:28"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</row>
    <row r="3052" spans="6:28"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</row>
    <row r="3053" spans="6:28"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</row>
    <row r="3054" spans="6:28"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</row>
    <row r="3055" spans="6:28"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</row>
    <row r="3056" spans="6:28"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</row>
    <row r="3057" spans="6:28"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</row>
    <row r="3058" spans="6:28"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</row>
    <row r="3059" spans="6:28"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</row>
    <row r="3060" spans="6:28"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</row>
    <row r="3061" spans="6:28"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</row>
    <row r="3062" spans="6:28"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</row>
    <row r="3063" spans="6:28"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</row>
    <row r="3064" spans="6:28"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</row>
    <row r="3065" spans="6:28"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</row>
    <row r="3066" spans="6:28"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</row>
    <row r="3067" spans="6:28"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</row>
    <row r="3068" spans="6:28"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</row>
    <row r="3069" spans="6:28"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</row>
    <row r="3070" spans="6:28"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</row>
    <row r="3071" spans="6:28"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</row>
    <row r="3072" spans="6:28"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</row>
    <row r="3073" spans="6:28"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</row>
    <row r="3074" spans="6:28"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</row>
    <row r="3075" spans="6:28"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</row>
    <row r="3076" spans="6:28"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</row>
    <row r="3077" spans="6:28"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</row>
    <row r="3078" spans="6:28"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</row>
    <row r="3079" spans="6:28"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</row>
    <row r="3080" spans="6:28"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</row>
    <row r="3081" spans="6:28"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</row>
    <row r="3082" spans="6:28"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</row>
    <row r="3083" spans="6:28"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</row>
    <row r="3084" spans="6:28"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</row>
    <row r="3085" spans="6:28"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</row>
    <row r="3086" spans="6:28"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</row>
    <row r="3087" spans="6:28"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</row>
    <row r="3088" spans="6:28"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</row>
    <row r="3089" spans="6:28"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</row>
    <row r="3090" spans="6:28"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</row>
    <row r="3091" spans="6:28"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</row>
    <row r="3092" spans="6:28"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</row>
    <row r="3093" spans="6:28"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</row>
    <row r="3094" spans="6:28"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</row>
    <row r="3095" spans="6:28"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</row>
    <row r="3096" spans="6:28"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</row>
    <row r="3097" spans="6:28"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</row>
    <row r="3098" spans="6:28"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</row>
    <row r="3099" spans="6:28"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</row>
    <row r="3100" spans="6:28"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</row>
    <row r="3101" spans="6:28"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</row>
    <row r="3102" spans="6:28"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</row>
    <row r="3103" spans="6:28"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</row>
    <row r="3104" spans="6:28"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</row>
    <row r="3105" spans="6:28"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</row>
    <row r="3106" spans="6:28"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</row>
    <row r="3107" spans="6:28"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</row>
    <row r="3108" spans="6:28"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</row>
    <row r="3109" spans="6:28"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</row>
    <row r="3110" spans="6:28"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</row>
    <row r="3111" spans="6:28"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</row>
    <row r="3112" spans="6:28"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</row>
    <row r="3113" spans="6:28"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</row>
    <row r="3114" spans="6:28"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</row>
    <row r="3115" spans="6:28"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</row>
    <row r="3116" spans="6:28"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</row>
    <row r="3117" spans="6:28"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</row>
    <row r="3118" spans="6:28"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</row>
    <row r="3119" spans="6:28"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</row>
    <row r="3120" spans="6:28"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</row>
    <row r="3121" spans="6:28"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</row>
    <row r="3122" spans="6:28"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</row>
    <row r="3123" spans="6:28"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</row>
    <row r="3124" spans="6:28"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</row>
    <row r="3125" spans="6:28"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</row>
    <row r="3126" spans="6:28"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</row>
    <row r="3127" spans="6:28"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</row>
    <row r="3128" spans="6:28"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</row>
    <row r="3129" spans="6:28"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</row>
    <row r="3130" spans="6:28"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</row>
    <row r="3131" spans="6:28"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</row>
    <row r="3132" spans="6:28"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</row>
    <row r="3133" spans="6:28"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</row>
    <row r="3134" spans="6:28"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</row>
    <row r="3135" spans="6:28"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</row>
    <row r="3136" spans="6:28"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</row>
    <row r="3137" spans="6:28"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</row>
    <row r="3138" spans="6:28"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</row>
    <row r="3139" spans="6:28"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</row>
    <row r="3140" spans="6:28"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</row>
    <row r="3141" spans="6:28"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</row>
    <row r="3142" spans="6:28"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</row>
    <row r="3143" spans="6:28"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</row>
    <row r="3144" spans="6:28"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</row>
    <row r="3145" spans="6:28"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</row>
    <row r="3146" spans="6:28"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</row>
    <row r="3147" spans="6:28"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</row>
    <row r="3148" spans="6:28"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</row>
    <row r="3149" spans="6:28"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</row>
    <row r="3150" spans="6:28"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</row>
    <row r="3151" spans="6:28"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</row>
    <row r="3152" spans="6:28"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</row>
    <row r="3153" spans="6:28"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</row>
    <row r="3154" spans="6:28"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</row>
    <row r="3155" spans="6:28"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</row>
    <row r="3156" spans="6:28"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</row>
    <row r="3157" spans="6:28"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</row>
    <row r="3158" spans="6:28"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</row>
    <row r="3159" spans="6:28"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</row>
    <row r="3160" spans="6:28"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</row>
    <row r="3161" spans="6:28"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</row>
    <row r="3162" spans="6:28"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</row>
    <row r="3163" spans="6:28"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</row>
    <row r="3164" spans="6:28"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</row>
    <row r="3165" spans="6:28"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</row>
    <row r="3166" spans="6:28"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</row>
    <row r="3167" spans="6:28"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</row>
    <row r="3168" spans="6:28"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</row>
    <row r="3169" spans="6:28"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</row>
    <row r="3170" spans="6:28"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</row>
    <row r="3171" spans="6:28"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</row>
    <row r="3172" spans="6:28"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</row>
    <row r="3173" spans="6:28"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</row>
    <row r="3174" spans="6:28"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</row>
    <row r="3175" spans="6:28"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</row>
    <row r="3176" spans="6:28"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</row>
    <row r="3177" spans="6:28"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</row>
    <row r="3178" spans="6:28"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</row>
    <row r="3179" spans="6:28"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</row>
    <row r="3180" spans="6:28"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</row>
    <row r="3181" spans="6:28"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</row>
    <row r="3182" spans="6:28"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</row>
    <row r="3183" spans="6:28"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</row>
    <row r="3184" spans="6:28"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</row>
    <row r="3185" spans="6:28"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</row>
    <row r="3186" spans="6:28"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</row>
    <row r="3187" spans="6:28"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</row>
    <row r="3188" spans="6:28"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</row>
    <row r="3189" spans="6:28"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</row>
    <row r="3190" spans="6:28"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</row>
    <row r="3191" spans="6:28"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</row>
    <row r="3192" spans="6:28"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</row>
    <row r="3193" spans="6:28"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</row>
    <row r="3194" spans="6:28"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</row>
    <row r="3195" spans="6:28"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</row>
    <row r="3196" spans="6:28"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</row>
    <row r="3197" spans="6:28"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</row>
    <row r="3198" spans="6:28"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</row>
    <row r="3199" spans="6:28"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</row>
    <row r="3200" spans="6:28"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</row>
    <row r="3201" spans="6:28"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</row>
    <row r="3202" spans="6:28"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</row>
    <row r="3203" spans="6:28"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</row>
    <row r="3204" spans="6:28"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</row>
    <row r="3205" spans="6:28"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</row>
    <row r="3206" spans="6:28"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</row>
    <row r="3207" spans="6:28"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</row>
    <row r="3208" spans="6:28"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</row>
    <row r="3209" spans="6:28"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</row>
    <row r="3210" spans="6:28"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</row>
    <row r="3211" spans="6:28"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</row>
    <row r="3212" spans="6:28"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</row>
    <row r="3213" spans="6:28"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</row>
    <row r="3214" spans="6:28"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</row>
    <row r="3215" spans="6:28"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</row>
    <row r="3216" spans="6:28"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</row>
    <row r="3217" spans="6:28"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</row>
    <row r="3218" spans="6:28"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</row>
    <row r="3219" spans="6:28"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</row>
    <row r="3220" spans="6:28"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</row>
    <row r="3221" spans="6:28"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</row>
    <row r="3222" spans="6:28"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</row>
    <row r="3223" spans="6:28"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</row>
    <row r="3224" spans="6:28"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</row>
    <row r="3225" spans="6:28"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</row>
    <row r="3226" spans="6:28"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</row>
    <row r="3227" spans="6:28"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</row>
    <row r="3228" spans="6:28"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</row>
    <row r="3229" spans="6:28"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</row>
    <row r="3230" spans="6:28"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</row>
    <row r="3231" spans="6:28"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</row>
    <row r="3232" spans="6:28"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</row>
    <row r="3233" spans="6:28"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</row>
    <row r="3234" spans="6:28"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</row>
    <row r="3235" spans="6:28"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</row>
    <row r="3236" spans="6:28"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</row>
    <row r="3237" spans="6:28"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</row>
    <row r="3238" spans="6:28"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</row>
    <row r="3239" spans="6:28"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</row>
    <row r="3240" spans="6:28"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</row>
    <row r="3241" spans="6:28"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</row>
    <row r="3242" spans="6:28"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</row>
    <row r="3243" spans="6:28"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</row>
    <row r="3244" spans="6:28"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</row>
    <row r="3245" spans="6:28"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</row>
    <row r="3246" spans="6:28"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</row>
    <row r="3247" spans="6:28"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</row>
    <row r="3248" spans="6:28"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</row>
    <row r="3249" spans="6:28"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</row>
    <row r="3250" spans="6:28"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</row>
    <row r="3251" spans="6:28"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</row>
    <row r="3252" spans="6:28"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</row>
    <row r="3253" spans="6:28"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</row>
    <row r="3254" spans="6:28"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</row>
    <row r="3255" spans="6:28"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</row>
    <row r="3256" spans="6:28"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</row>
    <row r="3257" spans="6:28"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</row>
    <row r="3258" spans="6:28"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</row>
    <row r="3259" spans="6:28"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</row>
    <row r="3260" spans="6:28"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</row>
    <row r="3261" spans="6:28"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</row>
    <row r="3262" spans="6:28"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</row>
    <row r="3263" spans="6:28"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</row>
    <row r="3264" spans="6:28"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</row>
    <row r="3265" spans="6:28"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</row>
    <row r="3266" spans="6:28"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</row>
    <row r="3267" spans="6:28"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</row>
    <row r="3268" spans="6:28"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</row>
    <row r="3269" spans="6:28"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</row>
    <row r="3270" spans="6:28"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</row>
    <row r="3271" spans="6:28"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</row>
    <row r="3272" spans="6:28"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</row>
    <row r="3273" spans="6:28"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</row>
    <row r="3274" spans="6:28"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</row>
    <row r="3275" spans="6:28"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</row>
    <row r="3276" spans="6:28"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</row>
    <row r="3277" spans="6:28"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</row>
    <row r="3278" spans="6:28"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</row>
    <row r="3279" spans="6:28"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</row>
    <row r="3280" spans="6:28"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</row>
    <row r="3281" spans="6:28"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</row>
    <row r="3282" spans="6:28"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</row>
    <row r="3283" spans="6:28"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</row>
    <row r="3284" spans="6:28"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</row>
    <row r="3285" spans="6:28"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</row>
    <row r="3286" spans="6:28"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</row>
    <row r="3287" spans="6:28"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</row>
    <row r="3288" spans="6:28"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</row>
    <row r="3289" spans="6:28"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</row>
    <row r="3290" spans="6:28"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</row>
    <row r="3291" spans="6:28"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</row>
    <row r="3292" spans="6:28"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</row>
    <row r="3293" spans="6:28"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</row>
    <row r="3294" spans="6:28"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</row>
    <row r="3295" spans="6:28"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</row>
    <row r="3296" spans="6:28"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</row>
    <row r="3297" spans="6:28"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</row>
    <row r="3298" spans="6:28"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</row>
    <row r="3299" spans="6:28"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</row>
    <row r="3300" spans="6:28"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</row>
    <row r="3301" spans="6:28"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</row>
    <row r="3302" spans="6:28"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</row>
    <row r="3303" spans="6:28"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</row>
    <row r="3304" spans="6:28"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</row>
    <row r="3305" spans="6:28"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</row>
    <row r="3306" spans="6:28"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</row>
    <row r="3307" spans="6:28"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</row>
    <row r="3308" spans="6:28"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</row>
    <row r="3309" spans="6:28"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</row>
    <row r="3310" spans="6:28"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</row>
    <row r="3311" spans="6:28"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</row>
    <row r="3312" spans="6:28"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</row>
    <row r="3313" spans="6:28"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</row>
    <row r="3314" spans="6:28"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</row>
    <row r="3315" spans="6:28"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</row>
    <row r="3316" spans="6:28"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</row>
    <row r="3317" spans="6:28"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</row>
    <row r="3318" spans="6:28"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</row>
    <row r="3319" spans="6:28"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</row>
    <row r="3320" spans="6:28"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</row>
    <row r="3321" spans="6:28"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</row>
    <row r="3322" spans="6:28"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</row>
    <row r="3323" spans="6:28"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</row>
    <row r="3324" spans="6:28"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</row>
    <row r="3325" spans="6:28"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</row>
    <row r="3326" spans="6:28"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</row>
    <row r="3327" spans="6:28"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</row>
    <row r="3328" spans="6:28"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</row>
    <row r="3329" spans="6:28"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</row>
    <row r="3330" spans="6:28"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</row>
    <row r="3331" spans="6:28"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</row>
    <row r="3332" spans="6:28"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</row>
    <row r="3333" spans="6:28"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</row>
    <row r="3334" spans="6:28"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</row>
    <row r="3335" spans="6:28"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</row>
    <row r="3336" spans="6:28"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</row>
    <row r="3337" spans="6:28"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</row>
    <row r="3338" spans="6:28"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</row>
    <row r="3339" spans="6:28"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</row>
    <row r="3340" spans="6:28"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</row>
    <row r="3341" spans="6:28"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</row>
    <row r="3342" spans="6:28"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</row>
    <row r="3343" spans="6:28"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</row>
    <row r="3344" spans="6:28"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</row>
    <row r="3345" spans="6:28"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</row>
    <row r="3346" spans="6:28"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</row>
    <row r="3347" spans="6:28"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</row>
    <row r="3348" spans="6:28"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</row>
    <row r="3349" spans="6:28"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</row>
    <row r="3350" spans="6:28"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</row>
    <row r="3351" spans="6:28"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</row>
    <row r="3352" spans="6:28"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</row>
    <row r="3353" spans="6:28"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</row>
    <row r="3354" spans="6:28"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</row>
    <row r="3355" spans="6:28"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</row>
    <row r="3356" spans="6:28"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</row>
    <row r="3357" spans="6:28"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</row>
    <row r="3358" spans="6:28"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</row>
    <row r="3359" spans="6:28"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</row>
    <row r="3360" spans="6:28"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</row>
    <row r="3361" spans="6:28"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</row>
    <row r="3362" spans="6:28"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</row>
    <row r="3363" spans="6:28"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</row>
    <row r="3364" spans="6:28"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</row>
    <row r="3365" spans="6:28"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</row>
    <row r="3366" spans="6:28"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</row>
    <row r="3367" spans="6:28"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</row>
    <row r="3368" spans="6:28"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</row>
    <row r="3369" spans="6:28"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</row>
    <row r="3370" spans="6:28"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</row>
    <row r="3371" spans="6:28"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</row>
    <row r="3372" spans="6:28"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</row>
    <row r="3373" spans="6:28"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</row>
    <row r="3374" spans="6:28"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</row>
    <row r="3375" spans="6:28"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</row>
    <row r="3376" spans="6:28"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</row>
    <row r="3377" spans="6:28"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</row>
    <row r="3378" spans="6:28"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</row>
    <row r="3379" spans="6:28"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</row>
    <row r="3380" spans="6:28"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</row>
    <row r="3381" spans="6:28"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</row>
    <row r="3382" spans="6:28"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</row>
    <row r="3383" spans="6:28"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</row>
    <row r="3384" spans="6:28"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</row>
    <row r="3385" spans="6:28"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</row>
    <row r="3386" spans="6:28"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</row>
    <row r="3387" spans="6:28"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</row>
    <row r="3388" spans="6:28"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</row>
    <row r="3389" spans="6:28"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</row>
    <row r="3390" spans="6:28"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</row>
    <row r="3391" spans="6:28"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</row>
    <row r="3392" spans="6:28"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</row>
    <row r="3393" spans="6:28"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</row>
    <row r="3394" spans="6:28"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</row>
    <row r="3395" spans="6:28"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</row>
    <row r="3396" spans="6:28"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</row>
    <row r="3397" spans="6:28"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</row>
    <row r="3398" spans="6:28"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</row>
    <row r="3399" spans="6:28"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</row>
    <row r="3400" spans="6:28"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</row>
    <row r="3401" spans="6:28"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</row>
    <row r="3402" spans="6:28"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</row>
    <row r="3403" spans="6:28"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</row>
    <row r="3404" spans="6:28"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</row>
    <row r="3405" spans="6:28"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</row>
    <row r="3406" spans="6:28"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</row>
    <row r="3407" spans="6:28"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</row>
    <row r="3408" spans="6:28"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</row>
    <row r="3409" spans="6:28"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</row>
    <row r="3410" spans="6:28"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</row>
    <row r="3411" spans="6:28"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</row>
    <row r="3412" spans="6:28"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</row>
    <row r="3413" spans="6:28"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</row>
    <row r="3414" spans="6:28"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</row>
    <row r="3415" spans="6:28"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</row>
    <row r="3416" spans="6:28"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</row>
    <row r="3417" spans="6:28"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</row>
    <row r="3418" spans="6:28"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</row>
    <row r="3419" spans="6:28"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</row>
    <row r="3420" spans="6:28"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</row>
    <row r="3421" spans="6:28"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</row>
    <row r="3422" spans="6:28"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</row>
    <row r="3423" spans="6:28"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</row>
    <row r="3424" spans="6:28"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</row>
    <row r="3425" spans="6:28"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</row>
    <row r="3426" spans="6:28"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</row>
    <row r="3427" spans="6:28"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</row>
    <row r="3428" spans="6:28"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</row>
    <row r="3429" spans="6:28"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</row>
    <row r="3430" spans="6:28"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</row>
    <row r="3431" spans="6:28"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</row>
    <row r="3432" spans="6:28"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</row>
    <row r="3433" spans="6:28"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</row>
    <row r="3434" spans="6:28"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</row>
    <row r="3435" spans="6:28"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</row>
    <row r="3436" spans="6:28"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</row>
    <row r="3437" spans="6:28"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</row>
    <row r="3438" spans="6:28"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</row>
    <row r="3439" spans="6:28"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</row>
    <row r="3440" spans="6:28"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</row>
    <row r="3441" spans="6:28"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</row>
    <row r="3442" spans="6:28"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</row>
    <row r="3443" spans="6:28"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</row>
    <row r="3444" spans="6:28"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</row>
    <row r="3445" spans="6:28"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</row>
    <row r="3446" spans="6:28"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</row>
    <row r="3447" spans="6:28"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</row>
    <row r="3448" spans="6:28"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</row>
    <row r="3449" spans="6:28"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</row>
    <row r="3450" spans="6:28"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</row>
    <row r="3451" spans="6:28"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</row>
    <row r="3452" spans="6:28"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</row>
    <row r="3453" spans="6:28"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</row>
    <row r="3454" spans="6:28"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</row>
    <row r="3455" spans="6:28"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</row>
    <row r="3456" spans="6:28"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</row>
    <row r="3457" spans="6:28"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</row>
    <row r="3458" spans="6:28"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</row>
    <row r="3459" spans="6:28"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</row>
    <row r="3460" spans="6:28"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</row>
    <row r="3461" spans="6:28"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</row>
    <row r="3462" spans="6:28"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</row>
    <row r="3463" spans="6:28"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</row>
    <row r="3464" spans="6:28"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</row>
    <row r="3465" spans="6:28"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</row>
    <row r="3466" spans="6:28"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</row>
    <row r="3467" spans="6:28"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</row>
    <row r="3468" spans="6:28"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</row>
    <row r="3469" spans="6:28"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</row>
    <row r="3470" spans="6:28"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</row>
    <row r="3471" spans="6:28"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</row>
    <row r="3472" spans="6:28"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</row>
    <row r="3473" spans="6:28"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</row>
    <row r="3474" spans="6:28"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</row>
    <row r="3475" spans="6:28"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</row>
    <row r="3476" spans="6:28"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</row>
    <row r="3477" spans="6:28"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</row>
    <row r="3478" spans="6:28"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</row>
    <row r="3479" spans="6:28"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</row>
    <row r="3480" spans="6:28"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</row>
    <row r="3481" spans="6:28"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</row>
    <row r="3482" spans="6:28"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</row>
    <row r="3483" spans="6:28"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</row>
    <row r="3484" spans="6:28"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</row>
    <row r="3485" spans="6:28"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</row>
    <row r="3486" spans="6:28"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</row>
    <row r="3487" spans="6:28"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</row>
    <row r="3488" spans="6:28"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</row>
    <row r="3489" spans="6:28"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</row>
    <row r="3490" spans="6:28"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</row>
    <row r="3491" spans="6:28"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</row>
    <row r="3492" spans="6:28"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</row>
    <row r="3493" spans="6:28"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</row>
    <row r="3494" spans="6:28"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</row>
    <row r="3495" spans="6:28"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</row>
    <row r="3496" spans="6:28"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</row>
    <row r="3497" spans="6:28"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</row>
    <row r="3498" spans="6:28"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</row>
    <row r="3499" spans="6:28"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</row>
    <row r="3500" spans="6:28"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</row>
    <row r="3501" spans="6:28"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</row>
    <row r="3502" spans="6:28"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</row>
    <row r="3503" spans="6:28"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</row>
    <row r="3504" spans="6:28"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</row>
    <row r="3505" spans="6:28"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</row>
    <row r="3506" spans="6:28"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</row>
    <row r="3507" spans="6:28"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</row>
    <row r="3508" spans="6:28"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</row>
    <row r="3509" spans="6:28"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</row>
    <row r="3510" spans="6:28"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</row>
    <row r="3511" spans="6:28"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</row>
    <row r="3512" spans="6:28"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</row>
    <row r="3513" spans="6:28"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</row>
    <row r="3514" spans="6:28"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</row>
    <row r="3515" spans="6:28"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</row>
    <row r="3516" spans="6:28"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</row>
    <row r="3517" spans="6:28"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</row>
    <row r="3518" spans="6:28"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</row>
    <row r="3519" spans="6:28"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</row>
    <row r="3520" spans="6:28"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</row>
    <row r="3521" spans="6:28"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</row>
    <row r="3522" spans="6:28"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</row>
    <row r="3523" spans="6:28"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</row>
    <row r="3524" spans="6:28"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</row>
    <row r="3525" spans="6:28"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</row>
    <row r="3526" spans="6:28"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</row>
    <row r="3527" spans="6:28"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</row>
    <row r="3528" spans="6:28"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</row>
    <row r="3529" spans="6:28"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</row>
    <row r="3530" spans="6:28"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</row>
    <row r="3531" spans="6:28"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</row>
    <row r="3532" spans="6:28"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</row>
    <row r="3533" spans="6:28"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</row>
    <row r="3534" spans="6:28"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</row>
    <row r="3535" spans="6:28"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</row>
    <row r="3536" spans="6:28"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</row>
    <row r="3537" spans="6:28"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</row>
    <row r="3538" spans="6:28"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</row>
    <row r="3539" spans="6:28"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</row>
    <row r="3540" spans="6:28"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</row>
    <row r="3541" spans="6:28"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</row>
    <row r="3542" spans="6:28"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</row>
    <row r="3543" spans="6:28"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</row>
    <row r="3544" spans="6:28"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</row>
    <row r="3545" spans="6:28"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</row>
    <row r="3546" spans="6:28"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</row>
    <row r="3547" spans="6:28"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</row>
    <row r="3548" spans="6:28"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</row>
    <row r="3549" spans="6:28"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</row>
    <row r="3550" spans="6:28"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</row>
    <row r="3551" spans="6:28"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</row>
    <row r="3552" spans="6:28"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</row>
    <row r="3553" spans="6:28"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</row>
    <row r="3554" spans="6:28"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</row>
    <row r="3555" spans="6:28"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</row>
    <row r="3556" spans="6:28"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</row>
    <row r="3557" spans="6:28"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</row>
    <row r="3558" spans="6:28"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</row>
    <row r="3559" spans="6:28"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</row>
    <row r="3560" spans="6:28"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</row>
    <row r="3561" spans="6:28"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</row>
    <row r="3562" spans="6:28"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</row>
    <row r="3563" spans="6:28"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</row>
    <row r="3564" spans="6:28"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</row>
    <row r="3565" spans="6:28"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</row>
    <row r="3566" spans="6:28"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</row>
    <row r="3567" spans="6:28"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</row>
    <row r="3568" spans="6:28"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</row>
    <row r="3569" spans="6:28"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</row>
    <row r="3570" spans="6:28"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</row>
    <row r="3571" spans="6:28"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</row>
    <row r="3572" spans="6:28"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</row>
    <row r="3573" spans="6:28"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</row>
    <row r="3574" spans="6:28"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</row>
    <row r="3575" spans="6:28"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</row>
    <row r="3576" spans="6:28"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</row>
    <row r="3577" spans="6:28"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</row>
    <row r="3578" spans="6:28"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</row>
    <row r="3579" spans="6:28"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</row>
    <row r="3580" spans="6:28"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</row>
    <row r="3581" spans="6:28"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</row>
    <row r="3582" spans="6:28"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</row>
    <row r="3583" spans="6:28"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</row>
    <row r="3584" spans="6:28"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</row>
    <row r="3585" spans="6:28"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</row>
    <row r="3586" spans="6:28"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</row>
    <row r="3587" spans="6:28"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</row>
    <row r="3588" spans="6:28"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</row>
    <row r="3589" spans="6:28"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</row>
    <row r="3590" spans="6:28"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</row>
    <row r="3591" spans="6:28"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</row>
    <row r="3592" spans="6:28"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</row>
    <row r="3593" spans="6:28"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</row>
    <row r="3594" spans="6:28"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</row>
    <row r="3595" spans="6:28"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</row>
    <row r="3596" spans="6:28"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</row>
    <row r="3597" spans="6:28"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</row>
    <row r="3598" spans="6:28"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</row>
    <row r="3599" spans="6:28"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</row>
    <row r="3600" spans="6:28"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</row>
    <row r="3601" spans="6:28"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</row>
    <row r="3602" spans="6:28"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</row>
    <row r="3603" spans="6:28"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</row>
    <row r="3604" spans="6:28"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</row>
    <row r="3605" spans="6:28"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</row>
    <row r="3606" spans="6:28"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</row>
    <row r="3607" spans="6:28"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</row>
    <row r="3608" spans="6:28"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</row>
    <row r="3609" spans="6:28"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</row>
    <row r="3610" spans="6:28"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</row>
    <row r="3611" spans="6:28"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</row>
    <row r="3612" spans="6:28"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</row>
    <row r="3613" spans="6:28"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</row>
    <row r="3614" spans="6:28"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</row>
    <row r="3615" spans="6:28"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</row>
    <row r="3616" spans="6:28"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</row>
    <row r="3617" spans="6:28"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</row>
    <row r="3618" spans="6:28"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</row>
    <row r="3619" spans="6:28"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</row>
    <row r="3620" spans="6:28"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</row>
    <row r="3621" spans="6:28"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</row>
    <row r="3622" spans="6:28"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</row>
    <row r="3623" spans="6:28"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</row>
    <row r="3624" spans="6:28"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</row>
    <row r="3625" spans="6:28"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</row>
    <row r="3626" spans="6:28"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</row>
    <row r="3627" spans="6:28"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</row>
    <row r="3628" spans="6:28"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</row>
    <row r="3629" spans="6:28"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</row>
    <row r="3630" spans="6:28"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</row>
    <row r="3631" spans="6:28"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</row>
    <row r="3632" spans="6:28"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</row>
    <row r="3633" spans="6:28"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</row>
    <row r="3634" spans="6:28"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</row>
    <row r="3635" spans="6:28"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</row>
    <row r="3636" spans="6:28"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</row>
    <row r="3637" spans="6:28"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</row>
    <row r="3638" spans="6:28"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</row>
    <row r="3639" spans="6:28"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</row>
    <row r="3640" spans="6:28"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</row>
    <row r="3641" spans="6:28"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</row>
    <row r="3642" spans="6:28"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</row>
    <row r="3643" spans="6:28"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</row>
    <row r="3644" spans="6:28"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</row>
    <row r="3645" spans="6:28"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</row>
    <row r="3646" spans="6:28"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</row>
    <row r="3647" spans="6:28"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</row>
    <row r="3648" spans="6:28"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</row>
    <row r="3649" spans="6:28"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</row>
    <row r="3650" spans="6:28"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</row>
    <row r="3651" spans="6:28"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</row>
    <row r="3652" spans="6:28"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</row>
    <row r="3653" spans="6:28"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</row>
    <row r="3654" spans="6:28"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</row>
    <row r="3655" spans="6:28"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</row>
    <row r="3656" spans="6:28"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</row>
    <row r="3657" spans="6:28"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</row>
    <row r="3658" spans="6:28"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</row>
    <row r="3659" spans="6:28"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</row>
    <row r="3660" spans="6:28"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</row>
    <row r="3661" spans="6:28"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</row>
    <row r="3662" spans="6:28"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</row>
    <row r="3663" spans="6:28"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</row>
    <row r="3664" spans="6:28"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</row>
    <row r="3665" spans="6:28"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</row>
    <row r="3666" spans="6:28"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</row>
    <row r="3667" spans="6:28"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</row>
    <row r="3668" spans="6:28"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</row>
    <row r="3669" spans="6:28"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</row>
    <row r="3670" spans="6:28"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</row>
    <row r="3671" spans="6:28"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</row>
    <row r="3672" spans="6:28"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</row>
    <row r="3673" spans="6:28"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</row>
    <row r="3674" spans="6:28"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</row>
    <row r="3675" spans="6:28"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</row>
    <row r="3676" spans="6:28"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</row>
    <row r="3677" spans="6:28"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</row>
    <row r="3678" spans="6:28"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</row>
    <row r="3679" spans="6:28"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</row>
    <row r="3680" spans="6:28"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</row>
    <row r="3681" spans="6:28"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</row>
    <row r="3682" spans="6:28"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</row>
    <row r="3683" spans="6:28"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</row>
    <row r="3684" spans="6:28"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</row>
    <row r="3685" spans="6:28"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</row>
    <row r="3686" spans="6:28"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</row>
    <row r="3687" spans="6:28"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</row>
    <row r="3688" spans="6:28"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</row>
    <row r="3689" spans="6:28"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</row>
    <row r="3690" spans="6:28"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</row>
    <row r="3691" spans="6:28"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</row>
    <row r="3692" spans="6:28"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</row>
    <row r="3693" spans="6:28"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</row>
    <row r="3694" spans="6:28"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</row>
    <row r="3695" spans="6:28"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</row>
    <row r="3696" spans="6:28"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</row>
    <row r="3697" spans="6:28"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</row>
    <row r="3698" spans="6:28"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</row>
    <row r="3699" spans="6:28"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</row>
    <row r="3700" spans="6:28"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</row>
    <row r="3701" spans="6:28"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</row>
    <row r="3702" spans="6:28"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</row>
    <row r="3703" spans="6:28"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</row>
    <row r="3704" spans="6:28"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</row>
    <row r="3705" spans="6:28"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</row>
    <row r="3706" spans="6:28"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</row>
    <row r="3707" spans="6:28"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</row>
    <row r="3708" spans="6:28"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</row>
    <row r="3709" spans="6:28"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</row>
    <row r="3710" spans="6:28"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</row>
    <row r="3711" spans="6:28"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</row>
    <row r="3712" spans="6:28"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</row>
    <row r="3713" spans="6:28"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</row>
    <row r="3714" spans="6:28"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</row>
    <row r="3715" spans="6:28"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</row>
    <row r="3716" spans="6:28"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</row>
    <row r="3717" spans="6:28"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</row>
    <row r="3718" spans="6:28"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</row>
    <row r="3719" spans="6:28"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</row>
    <row r="3720" spans="6:28"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</row>
    <row r="3721" spans="6:28"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</row>
    <row r="3722" spans="6:28"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</row>
    <row r="3723" spans="6:28"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</row>
    <row r="3724" spans="6:28"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</row>
    <row r="3725" spans="6:28"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</row>
    <row r="3726" spans="6:28"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</row>
    <row r="3727" spans="6:28"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</row>
    <row r="3728" spans="6:28"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</row>
    <row r="3729" spans="6:28"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</row>
    <row r="3730" spans="6:28"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</row>
    <row r="3731" spans="6:28"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</row>
    <row r="3732" spans="6:28"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</row>
    <row r="3733" spans="6:28"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</row>
    <row r="3734" spans="6:28"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</row>
    <row r="3735" spans="6:28"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</row>
    <row r="3736" spans="6:28"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</row>
    <row r="3737" spans="6:28"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</row>
    <row r="3738" spans="6:28"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</row>
    <row r="3739" spans="6:28"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</row>
    <row r="3740" spans="6:28"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</row>
    <row r="3741" spans="6:28"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</row>
    <row r="3742" spans="6:28"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</row>
    <row r="3743" spans="6:28"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</row>
    <row r="3744" spans="6:28"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</row>
    <row r="3745" spans="6:28"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</row>
    <row r="3746" spans="6:28"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</row>
    <row r="3747" spans="6:28"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</row>
    <row r="3748" spans="6:28"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</row>
    <row r="3749" spans="6:28"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</row>
    <row r="3750" spans="6:28"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</row>
    <row r="3751" spans="6:28"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</row>
    <row r="3752" spans="6:28"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</row>
    <row r="3753" spans="6:28"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</row>
    <row r="3754" spans="6:28"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</row>
    <row r="3755" spans="6:28"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</row>
    <row r="3756" spans="6:28"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</row>
    <row r="3757" spans="6:28"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</row>
    <row r="3758" spans="6:28"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</row>
    <row r="3759" spans="6:28"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</row>
    <row r="3760" spans="6:28"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</row>
    <row r="3761" spans="6:28"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</row>
    <row r="3762" spans="6:28"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</row>
    <row r="3763" spans="6:28"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</row>
    <row r="3764" spans="6:28"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</row>
    <row r="3765" spans="6:28"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</row>
    <row r="3766" spans="6:28"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</row>
    <row r="3767" spans="6:28"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</row>
    <row r="3768" spans="6:28"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</row>
    <row r="3769" spans="6:28"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</row>
    <row r="3770" spans="6:28"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</row>
    <row r="3771" spans="6:28"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</row>
    <row r="3772" spans="6:28"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</row>
    <row r="3773" spans="6:28"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</row>
    <row r="3774" spans="6:28"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</row>
    <row r="3775" spans="6:28"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</row>
    <row r="3776" spans="6:28"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</row>
    <row r="3777" spans="6:28"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</row>
    <row r="3778" spans="6:28"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</row>
    <row r="3779" spans="6:28"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</row>
    <row r="3780" spans="6:28"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</row>
    <row r="3781" spans="6:28"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</row>
    <row r="3782" spans="6:28"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</row>
    <row r="3783" spans="6:28"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</row>
    <row r="3784" spans="6:28"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</row>
    <row r="3785" spans="6:28"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</row>
    <row r="3786" spans="6:28"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</row>
    <row r="3787" spans="6:28"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</row>
    <row r="3788" spans="6:28"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</row>
    <row r="3789" spans="6:28"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</row>
    <row r="3790" spans="6:28"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</row>
    <row r="3791" spans="6:28"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</row>
    <row r="3792" spans="6:28"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</row>
    <row r="3793" spans="6:28"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</row>
    <row r="3794" spans="6:28"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</row>
    <row r="3795" spans="6:28"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</row>
    <row r="3796" spans="6:28"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</row>
    <row r="3797" spans="6:28"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</row>
    <row r="3798" spans="6:28"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</row>
    <row r="3799" spans="6:28"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</row>
    <row r="3800" spans="6:28"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</row>
    <row r="3801" spans="6:28"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</row>
    <row r="3802" spans="6:28"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</row>
    <row r="3803" spans="6:28"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</row>
    <row r="3804" spans="6:28"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</row>
    <row r="3805" spans="6:28"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</row>
    <row r="3806" spans="6:28"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</row>
    <row r="3807" spans="6:28"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</row>
    <row r="3808" spans="6:28"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</row>
    <row r="3809" spans="6:28"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</row>
    <row r="3810" spans="6:28"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</row>
    <row r="3811" spans="6:28"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</row>
    <row r="3812" spans="6:28"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</row>
    <row r="3813" spans="6:28"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</row>
    <row r="3814" spans="6:28"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</row>
    <row r="3815" spans="6:28"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</row>
    <row r="3816" spans="6:28"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</row>
    <row r="3817" spans="6:28"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</row>
    <row r="3818" spans="6:28"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</row>
    <row r="3819" spans="6:28"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</row>
    <row r="3820" spans="6:28"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</row>
    <row r="3821" spans="6:28"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</row>
    <row r="3822" spans="6:28"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</row>
    <row r="3823" spans="6:28"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</row>
    <row r="3824" spans="6:28"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</row>
    <row r="3825" spans="6:28"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</row>
    <row r="3826" spans="6:28"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</row>
    <row r="3827" spans="6:28"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</row>
    <row r="3828" spans="6:28"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</row>
    <row r="3829" spans="6:28"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</row>
    <row r="3830" spans="6:28"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</row>
    <row r="3831" spans="6:28"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</row>
    <row r="3832" spans="6:28"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</row>
    <row r="3833" spans="6:28"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</row>
    <row r="3834" spans="6:28"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</row>
    <row r="3835" spans="6:28"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</row>
    <row r="3836" spans="6:28"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</row>
    <row r="3837" spans="6:28"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</row>
    <row r="3838" spans="6:28"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</row>
    <row r="3839" spans="6:28"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</row>
    <row r="3840" spans="6:28"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</row>
    <row r="3841" spans="6:28"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</row>
    <row r="3842" spans="6:28"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</row>
    <row r="3843" spans="6:28"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</row>
    <row r="3844" spans="6:28"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</row>
    <row r="3845" spans="6:28"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</row>
    <row r="3846" spans="6:28"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</row>
    <row r="3847" spans="6:28"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</row>
    <row r="3848" spans="6:28"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</row>
    <row r="3849" spans="6:28"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</row>
    <row r="3850" spans="6:28"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</row>
    <row r="3851" spans="6:28"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</row>
    <row r="3852" spans="6:28"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</row>
    <row r="3853" spans="6:28"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</row>
    <row r="3854" spans="6:28"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</row>
    <row r="3855" spans="6:28"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</row>
    <row r="3856" spans="6:28"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</row>
    <row r="3857" spans="6:28"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</row>
    <row r="3858" spans="6:28"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</row>
    <row r="3859" spans="6:28"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</row>
    <row r="3860" spans="6:28"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</row>
    <row r="3861" spans="6:28"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</row>
    <row r="3862" spans="6:28"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</row>
    <row r="3863" spans="6:28"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</row>
    <row r="3864" spans="6:28"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</row>
    <row r="3865" spans="6:28"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</row>
    <row r="3866" spans="6:28"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</row>
    <row r="3867" spans="6:28"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</row>
    <row r="3868" spans="6:28"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</row>
    <row r="3869" spans="6:28"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</row>
    <row r="3870" spans="6:28"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</row>
    <row r="3871" spans="6:28"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</row>
    <row r="3872" spans="6:28"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</row>
    <row r="3873" spans="6:28"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</row>
    <row r="3874" spans="6:28"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</row>
    <row r="3875" spans="6:28"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</row>
    <row r="3876" spans="6:28"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</row>
    <row r="3877" spans="6:28"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</row>
    <row r="3878" spans="6:28"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</row>
    <row r="3879" spans="6:28"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</row>
    <row r="3880" spans="6:28"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</row>
    <row r="3881" spans="6:28"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</row>
    <row r="3882" spans="6:28"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</row>
    <row r="3883" spans="6:28"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</row>
    <row r="3884" spans="6:28"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</row>
    <row r="3885" spans="6:28"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</row>
    <row r="3886" spans="6:28"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</row>
    <row r="3887" spans="6:28"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</row>
    <row r="3888" spans="6:28"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</row>
    <row r="3889" spans="6:28"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</row>
    <row r="3890" spans="6:28"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</row>
    <row r="3891" spans="6:28"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</row>
    <row r="3892" spans="6:28"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</row>
    <row r="3893" spans="6:28"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</row>
    <row r="3894" spans="6:28"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</row>
    <row r="3895" spans="6:28"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</row>
    <row r="3896" spans="6:28"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</row>
    <row r="3897" spans="6:28"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</row>
    <row r="3898" spans="6:28"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</row>
    <row r="3899" spans="6:28"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</row>
    <row r="3900" spans="6:28"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</row>
    <row r="3901" spans="6:28"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</row>
    <row r="3902" spans="6:28"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</row>
    <row r="3903" spans="6:28"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</row>
    <row r="3904" spans="6:28"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</row>
    <row r="3905" spans="6:28"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</row>
    <row r="3906" spans="6:28"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</row>
    <row r="3907" spans="6:28"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</row>
    <row r="3908" spans="6:28"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</row>
    <row r="3909" spans="6:28"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</row>
    <row r="3910" spans="6:28"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</row>
    <row r="3911" spans="6:28"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</row>
    <row r="3912" spans="6:28"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</row>
    <row r="3913" spans="6:28"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</row>
    <row r="3914" spans="6:28"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</row>
    <row r="3915" spans="6:28"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</row>
    <row r="3916" spans="6:28"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</row>
    <row r="3917" spans="6:28"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</row>
    <row r="3918" spans="6:28"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</row>
    <row r="3919" spans="6:28"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</row>
    <row r="3920" spans="6:28"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</row>
    <row r="3921" spans="6:28"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</row>
    <row r="3922" spans="6:28"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</row>
    <row r="3923" spans="6:28"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</row>
    <row r="3924" spans="6:28"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</row>
    <row r="3925" spans="6:28"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</row>
    <row r="3926" spans="6:28"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</row>
    <row r="3927" spans="6:28"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</row>
    <row r="3928" spans="6:28"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</row>
    <row r="3929" spans="6:28"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</row>
    <row r="3930" spans="6:28"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</row>
    <row r="3931" spans="6:28"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</row>
    <row r="3932" spans="6:28"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</row>
    <row r="3933" spans="6:28"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</row>
    <row r="3934" spans="6:28"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</row>
    <row r="3935" spans="6:28"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</row>
    <row r="3936" spans="6:28"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</row>
    <row r="3937" spans="6:28"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</row>
    <row r="3938" spans="6:28"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</row>
    <row r="3939" spans="6:28"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</row>
    <row r="3940" spans="6:28"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</row>
    <row r="3941" spans="6:28"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</row>
    <row r="3942" spans="6:28"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</row>
    <row r="3943" spans="6:28"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</row>
    <row r="3944" spans="6:28"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</row>
    <row r="3945" spans="6:28"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</row>
    <row r="3946" spans="6:28"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</row>
    <row r="3947" spans="6:28"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</row>
    <row r="3948" spans="6:28"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</row>
    <row r="3949" spans="6:28"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</row>
    <row r="3950" spans="6:28"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</row>
    <row r="3951" spans="6:28"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</row>
    <row r="3952" spans="6:28"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</row>
    <row r="3953" spans="6:28"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</row>
    <row r="3954" spans="6:28"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</row>
    <row r="3955" spans="6:28"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</row>
    <row r="3956" spans="6:28"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</row>
    <row r="3957" spans="6:28"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</row>
    <row r="3958" spans="6:28"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</row>
    <row r="3959" spans="6:28"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</row>
    <row r="3960" spans="6:28"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</row>
    <row r="3961" spans="6:28"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</row>
    <row r="3962" spans="6:28"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</row>
    <row r="3963" spans="6:28"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</row>
    <row r="3964" spans="6:28"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</row>
    <row r="3965" spans="6:28"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</row>
    <row r="3966" spans="6:28"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</row>
    <row r="3967" spans="6:28"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</row>
    <row r="3968" spans="6:28"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</row>
    <row r="3969" spans="6:28"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</row>
    <row r="3970" spans="6:28"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</row>
    <row r="3971" spans="6:28"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</row>
    <row r="3972" spans="6:28"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</row>
    <row r="3973" spans="6:28"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</row>
    <row r="3974" spans="6:28"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</row>
    <row r="3975" spans="6:28"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</row>
    <row r="3976" spans="6:28"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</row>
    <row r="3977" spans="6:28"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</row>
    <row r="3978" spans="6:28"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</row>
    <row r="3979" spans="6:28"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</row>
    <row r="3980" spans="6:28"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</row>
    <row r="3981" spans="6:28"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</row>
    <row r="3982" spans="6:28"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</row>
    <row r="3983" spans="6:28"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</row>
    <row r="3984" spans="6:28"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</row>
    <row r="3985" spans="6:28"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</row>
    <row r="3986" spans="6:28"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</row>
    <row r="3987" spans="6:28"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</row>
    <row r="3988" spans="6:28"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</row>
    <row r="3989" spans="6:28"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</row>
    <row r="3990" spans="6:28"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</row>
    <row r="3991" spans="6:28"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</row>
    <row r="3992" spans="6:28"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</row>
    <row r="3993" spans="6:28"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</row>
    <row r="3994" spans="6:28"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</row>
    <row r="3995" spans="6:28"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</row>
    <row r="3996" spans="6:28"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</row>
    <row r="3997" spans="6:28"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</row>
    <row r="3998" spans="6:28"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</row>
    <row r="3999" spans="6:28"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</row>
    <row r="4000" spans="6:28"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</row>
    <row r="4001" spans="6:28"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</row>
    <row r="4002" spans="6:28"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</row>
    <row r="4003" spans="6:28"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</row>
    <row r="4004" spans="6:28"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</row>
    <row r="4005" spans="6:28"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</row>
    <row r="4006" spans="6:28"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</row>
    <row r="4007" spans="6:28"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</row>
    <row r="4008" spans="6:28"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</row>
    <row r="4009" spans="6:28"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</row>
    <row r="4010" spans="6:28"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</row>
    <row r="4011" spans="6:28"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</row>
    <row r="4012" spans="6:28"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</row>
    <row r="4013" spans="6:28"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</row>
    <row r="4014" spans="6:28"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</row>
    <row r="4015" spans="6:28"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</row>
    <row r="4016" spans="6:28"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</row>
    <row r="4017" spans="6:28"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</row>
    <row r="4018" spans="6:28"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</row>
    <row r="4019" spans="6:28"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</row>
    <row r="4020" spans="6:28"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</row>
    <row r="4021" spans="6:28"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</row>
    <row r="4022" spans="6:28"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</row>
    <row r="4023" spans="6:28"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</row>
    <row r="4024" spans="6:28"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</row>
    <row r="4025" spans="6:28"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</row>
    <row r="4026" spans="6:28"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</row>
    <row r="4027" spans="6:28"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</row>
    <row r="4028" spans="6:28"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</row>
    <row r="4029" spans="6:28"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</row>
    <row r="4030" spans="6:28"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</row>
    <row r="4031" spans="6:28"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</row>
    <row r="4032" spans="6:28"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</row>
    <row r="4033" spans="6:28"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</row>
    <row r="4034" spans="6:28"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</row>
    <row r="4035" spans="6:28"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</row>
    <row r="4036" spans="6:28"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</row>
    <row r="4037" spans="6:28"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</row>
    <row r="4038" spans="6:28"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</row>
    <row r="4039" spans="6:28"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</row>
    <row r="4040" spans="6:28"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</row>
    <row r="4041" spans="6:28"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</row>
    <row r="4042" spans="6:28"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</row>
    <row r="4043" spans="6:28"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</row>
    <row r="4044" spans="6:28"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</row>
    <row r="4045" spans="6:28"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</row>
    <row r="4046" spans="6:28"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</row>
    <row r="4047" spans="6:28"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</row>
    <row r="4048" spans="6:28"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</row>
    <row r="4049" spans="6:28"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</row>
    <row r="4050" spans="6:28"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</row>
    <row r="4051" spans="6:28"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</row>
    <row r="4052" spans="6:28"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</row>
    <row r="4053" spans="6:28"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</row>
    <row r="4054" spans="6:28"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</row>
    <row r="4055" spans="6:28"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</row>
    <row r="4056" spans="6:28"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</row>
    <row r="4057" spans="6:28"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</row>
    <row r="4058" spans="6:28"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</row>
    <row r="4059" spans="6:28"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</row>
    <row r="4060" spans="6:28"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</row>
    <row r="4061" spans="6:28"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</row>
    <row r="4062" spans="6:28"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</row>
    <row r="4063" spans="6:28"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</row>
    <row r="4064" spans="6:28"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</row>
    <row r="4065" spans="6:28"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</row>
    <row r="4066" spans="6:28"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</row>
    <row r="4067" spans="6:28"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</row>
    <row r="4068" spans="6:28"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</row>
    <row r="4069" spans="6:28"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</row>
    <row r="4070" spans="6:28"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</row>
    <row r="4071" spans="6:28"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</row>
    <row r="4072" spans="6:28"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</row>
    <row r="4073" spans="6:28"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</row>
    <row r="4074" spans="6:28"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</row>
    <row r="4075" spans="6:28"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</row>
    <row r="4076" spans="6:28"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</row>
    <row r="4077" spans="6:28"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</row>
    <row r="4078" spans="6:28"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</row>
    <row r="4079" spans="6:28"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</row>
    <row r="4080" spans="6:28"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</row>
    <row r="4081" spans="6:28"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</row>
    <row r="4082" spans="6:28"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</row>
    <row r="4083" spans="6:28"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</row>
    <row r="4084" spans="6:28"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</row>
    <row r="4085" spans="6:28"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</row>
    <row r="4086" spans="6:28"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</row>
    <row r="4087" spans="6:28"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</row>
    <row r="4088" spans="6:28"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</row>
    <row r="4089" spans="6:28"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</row>
    <row r="4090" spans="6:28"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</row>
    <row r="4091" spans="6:28"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</row>
    <row r="4092" spans="6:28"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</row>
    <row r="4093" spans="6:28"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</row>
    <row r="4094" spans="6:28"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</row>
    <row r="4095" spans="6:28"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</row>
    <row r="4096" spans="6:28"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</row>
    <row r="4097" spans="6:28"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</row>
    <row r="4098" spans="6:28"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</row>
    <row r="4099" spans="6:28"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</row>
    <row r="4100" spans="6:28"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</row>
    <row r="4101" spans="6:28"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</row>
    <row r="4102" spans="6:28"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</row>
    <row r="4103" spans="6:28"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</row>
    <row r="4104" spans="6:28"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</row>
    <row r="4105" spans="6:28"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</row>
    <row r="4106" spans="6:28"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</row>
    <row r="4107" spans="6:28"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</row>
    <row r="4108" spans="6:28"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</row>
    <row r="4109" spans="6:28"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</row>
    <row r="4110" spans="6:28"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</row>
    <row r="4111" spans="6:28"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</row>
    <row r="4112" spans="6:28"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</row>
    <row r="4113" spans="6:28"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</row>
    <row r="4114" spans="6:28"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</row>
    <row r="4115" spans="6:28"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</row>
    <row r="4116" spans="6:28"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</row>
    <row r="4117" spans="6:28"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</row>
    <row r="4118" spans="6:28"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</row>
    <row r="4119" spans="6:28"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</row>
    <row r="4120" spans="6:28"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</row>
    <row r="4121" spans="6:28"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</row>
    <row r="4122" spans="6:28"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</row>
    <row r="4123" spans="6:28"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</row>
    <row r="4124" spans="6:28"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</row>
    <row r="4125" spans="6:28"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</row>
    <row r="4126" spans="6:28"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</row>
    <row r="4127" spans="6:28"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</row>
    <row r="4128" spans="6:28"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</row>
    <row r="4129" spans="6:28"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</row>
    <row r="4130" spans="6:28"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</row>
    <row r="4131" spans="6:28"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</row>
    <row r="4132" spans="6:28"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</row>
    <row r="4133" spans="6:28"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</row>
    <row r="4134" spans="6:28"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</row>
    <row r="4135" spans="6:28"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</row>
    <row r="4136" spans="6:28"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</row>
    <row r="4137" spans="6:28"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</row>
    <row r="4138" spans="6:28"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</row>
    <row r="4139" spans="6:28"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</row>
    <row r="4140" spans="6:28"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</row>
    <row r="4141" spans="6:28"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</row>
    <row r="4142" spans="6:28"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</row>
    <row r="4143" spans="6:28"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</row>
    <row r="4144" spans="6:28"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</row>
    <row r="4145" spans="6:28"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</row>
    <row r="4146" spans="6:28"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</row>
    <row r="4147" spans="6:28"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</row>
    <row r="4148" spans="6:28"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</row>
    <row r="4149" spans="6:28"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</row>
    <row r="4150" spans="6:28"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</row>
    <row r="4151" spans="6:28"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</row>
    <row r="4152" spans="6:28"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</row>
    <row r="4153" spans="6:28"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</row>
    <row r="4154" spans="6:28"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</row>
    <row r="4155" spans="6:28"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</row>
    <row r="4156" spans="6:28"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</row>
    <row r="4157" spans="6:28"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</row>
    <row r="4158" spans="6:28"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</row>
    <row r="4159" spans="6:28"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</row>
    <row r="4160" spans="6:28"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</row>
    <row r="4161" spans="6:28"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</row>
    <row r="4162" spans="6:28"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</row>
    <row r="4163" spans="6:28"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</row>
    <row r="4164" spans="6:28"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</row>
    <row r="4165" spans="6:28"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</row>
    <row r="4166" spans="6:28"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</row>
    <row r="4167" spans="6:28"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</row>
    <row r="4168" spans="6:28"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</row>
    <row r="4169" spans="6:28"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</row>
    <row r="4170" spans="6:28"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</row>
    <row r="4171" spans="6:28"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</row>
    <row r="4172" spans="6:28"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</row>
    <row r="4173" spans="6:28"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</row>
    <row r="4174" spans="6:28"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</row>
    <row r="4175" spans="6:28"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</row>
    <row r="4176" spans="6:28"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</row>
    <row r="4177" spans="6:28"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</row>
    <row r="4178" spans="6:28"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</row>
    <row r="4179" spans="6:28"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</row>
    <row r="4180" spans="6:28"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</row>
    <row r="4181" spans="6:28"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</row>
    <row r="4182" spans="6:28"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</row>
    <row r="4183" spans="6:28"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</row>
    <row r="4184" spans="6:28"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</row>
    <row r="4185" spans="6:28"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</row>
    <row r="4186" spans="6:28"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</row>
    <row r="4187" spans="6:28"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</row>
    <row r="4188" spans="6:28"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</row>
    <row r="4189" spans="6:28"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</row>
    <row r="4190" spans="6:28"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</row>
    <row r="4191" spans="6:28"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</row>
    <row r="4192" spans="6:28"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</row>
    <row r="4193" spans="6:28"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</row>
    <row r="4194" spans="6:28"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</row>
    <row r="4195" spans="6:28"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</row>
    <row r="4196" spans="6:28"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</row>
    <row r="4197" spans="6:28"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</row>
    <row r="4198" spans="6:28"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</row>
    <row r="4199" spans="6:28"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</row>
    <row r="4200" spans="6:28"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</row>
    <row r="4201" spans="6:28"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</row>
    <row r="4202" spans="6:28"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</row>
    <row r="4203" spans="6:28"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</row>
    <row r="4204" spans="6:28"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</row>
    <row r="4205" spans="6:28"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</row>
    <row r="4206" spans="6:28"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</row>
    <row r="4207" spans="6:28"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</row>
    <row r="4208" spans="6:28"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</row>
    <row r="4209" spans="6:28"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</row>
    <row r="4210" spans="6:28"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</row>
    <row r="4211" spans="6:28"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</row>
    <row r="4212" spans="6:28"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</row>
    <row r="4213" spans="6:28"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</row>
    <row r="4214" spans="6:28"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</row>
    <row r="4215" spans="6:28"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</row>
    <row r="4216" spans="6:28"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</row>
    <row r="4217" spans="6:28"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</row>
    <row r="4218" spans="6:28"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</row>
    <row r="4219" spans="6:28"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</row>
    <row r="4220" spans="6:28"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</row>
    <row r="4221" spans="6:28"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</row>
    <row r="4222" spans="6:28"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</row>
    <row r="4223" spans="6:28"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</row>
    <row r="4224" spans="6:28"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</row>
    <row r="4225" spans="6:28"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</row>
    <row r="4226" spans="6:28"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</row>
    <row r="4227" spans="6:28"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</row>
    <row r="4228" spans="6:28"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</row>
    <row r="4229" spans="6:28"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</row>
    <row r="4230" spans="6:28"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</row>
    <row r="4231" spans="6:28"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</row>
    <row r="4232" spans="6:28"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</row>
    <row r="4233" spans="6:28"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</row>
    <row r="4234" spans="6:28"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</row>
    <row r="4235" spans="6:28"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</row>
    <row r="4236" spans="6:28"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</row>
    <row r="4237" spans="6:28"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</row>
    <row r="4238" spans="6:28"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</row>
    <row r="4239" spans="6:28"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</row>
    <row r="4240" spans="6:28"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</row>
    <row r="4241" spans="6:28"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</row>
    <row r="4242" spans="6:28"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</row>
    <row r="4243" spans="6:28"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</row>
    <row r="4244" spans="6:28"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</row>
    <row r="4245" spans="6:28"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</row>
    <row r="4246" spans="6:28"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</row>
    <row r="4247" spans="6:28"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</row>
    <row r="4248" spans="6:28"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</row>
    <row r="4249" spans="6:28"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</row>
    <row r="4250" spans="6:28"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</row>
    <row r="4251" spans="6:28"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</row>
    <row r="4252" spans="6:28"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</row>
    <row r="4253" spans="6:28"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</row>
    <row r="4254" spans="6:28"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</row>
    <row r="4255" spans="6:28"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</row>
    <row r="4256" spans="6:28"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</row>
    <row r="4257" spans="6:28"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</row>
    <row r="4258" spans="6:28"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</row>
    <row r="4259" spans="6:28"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</row>
    <row r="4260" spans="6:28"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</row>
    <row r="4261" spans="6:28"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</row>
    <row r="4262" spans="6:28"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</row>
    <row r="4263" spans="6:28"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</row>
    <row r="4264" spans="6:28"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</row>
    <row r="4265" spans="6:28"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</row>
    <row r="4266" spans="6:28"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</row>
    <row r="4267" spans="6:28"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</row>
    <row r="4268" spans="6:28"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</row>
    <row r="4269" spans="6:28"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</row>
    <row r="4270" spans="6:28"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</row>
    <row r="4271" spans="6:28"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</row>
    <row r="4272" spans="6:28"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</row>
    <row r="4273" spans="6:28"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</row>
    <row r="4274" spans="6:28"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</row>
    <row r="4275" spans="6:28"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</row>
    <row r="4276" spans="6:28"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</row>
    <row r="4277" spans="6:28"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</row>
    <row r="4278" spans="6:28"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</row>
    <row r="4279" spans="6:28"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</row>
    <row r="4280" spans="6:28"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</row>
    <row r="4281" spans="6:28"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</row>
    <row r="4282" spans="6:28"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</row>
    <row r="4283" spans="6:28"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</row>
    <row r="4284" spans="6:28"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</row>
    <row r="4285" spans="6:28"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</row>
    <row r="4286" spans="6:28"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</row>
    <row r="4287" spans="6:28"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</row>
    <row r="4288" spans="6:28"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</row>
    <row r="4289" spans="6:28"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</row>
    <row r="4290" spans="6:28"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</row>
    <row r="4291" spans="6:28"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</row>
    <row r="4292" spans="6:28"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</row>
    <row r="4293" spans="6:28"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</row>
    <row r="4294" spans="6:28"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</row>
    <row r="4295" spans="6:28"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</row>
    <row r="4296" spans="6:28"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</row>
    <row r="4297" spans="6:28"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</row>
    <row r="4298" spans="6:28"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</row>
    <row r="4299" spans="6:28"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</row>
    <row r="4300" spans="6:28"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</row>
    <row r="4301" spans="6:28"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</row>
    <row r="4302" spans="6:28"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</row>
    <row r="4303" spans="6:28"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</row>
    <row r="4304" spans="6:28"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</row>
    <row r="4305" spans="6:28"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</row>
    <row r="4306" spans="6:28"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</row>
    <row r="4307" spans="6:28"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</row>
    <row r="4308" spans="6:28"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</row>
    <row r="4309" spans="6:28"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</row>
    <row r="4310" spans="6:28"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</row>
    <row r="4311" spans="6:28"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</row>
    <row r="4312" spans="6:28"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</row>
    <row r="4313" spans="6:28"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</row>
    <row r="4314" spans="6:28"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</row>
    <row r="4315" spans="6:28"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</row>
    <row r="4316" spans="6:28"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</row>
    <row r="4317" spans="6:28"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</row>
    <row r="4318" spans="6:28"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</row>
    <row r="4319" spans="6:28"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</row>
    <row r="4320" spans="6:28"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</row>
    <row r="4321" spans="6:28"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</row>
    <row r="4322" spans="6:28"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</row>
    <row r="4323" spans="6:28"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</row>
    <row r="4324" spans="6:28"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</row>
    <row r="4325" spans="6:28"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</row>
    <row r="4326" spans="6:28"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</row>
    <row r="4327" spans="6:28"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</row>
    <row r="4328" spans="6:28"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</row>
    <row r="4329" spans="6:28"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</row>
    <row r="4330" spans="6:28"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</row>
    <row r="4331" spans="6:28"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</row>
    <row r="4332" spans="6:28"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</row>
    <row r="4333" spans="6:28"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</row>
    <row r="4334" spans="6:28"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</row>
    <row r="4335" spans="6:28"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</row>
    <row r="4336" spans="6:28"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</row>
    <row r="4337" spans="6:28"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</row>
    <row r="4338" spans="6:28"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</row>
    <row r="4339" spans="6:28"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</row>
    <row r="4340" spans="6:28"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</row>
    <row r="4341" spans="6:28"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</row>
    <row r="4342" spans="6:28"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</row>
    <row r="4343" spans="6:28"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</row>
    <row r="4344" spans="6:28"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</row>
    <row r="4345" spans="6:28"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</row>
    <row r="4346" spans="6:28"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</row>
    <row r="4347" spans="6:28"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</row>
    <row r="4348" spans="6:28"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</row>
    <row r="4349" spans="6:28"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</row>
    <row r="4350" spans="6:28"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</row>
    <row r="4351" spans="6:28"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</row>
    <row r="4352" spans="6:28"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</row>
    <row r="4353" spans="6:28"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</row>
    <row r="4354" spans="6:28"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</row>
    <row r="4355" spans="6:28"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</row>
    <row r="4356" spans="6:28"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</row>
    <row r="4357" spans="6:28"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</row>
    <row r="4358" spans="6:28"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</row>
    <row r="4359" spans="6:28"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</row>
    <row r="4360" spans="6:28"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</row>
    <row r="4361" spans="6:28"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</row>
    <row r="4362" spans="6:28"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</row>
    <row r="4363" spans="6:28"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</row>
    <row r="4364" spans="6:28"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</row>
    <row r="4365" spans="6:28"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</row>
    <row r="4366" spans="6:28"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</row>
    <row r="4367" spans="6:28"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</row>
    <row r="4368" spans="6:28"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</row>
    <row r="4369" spans="6:28"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</row>
    <row r="4370" spans="6:28"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</row>
    <row r="4371" spans="6:28"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</row>
    <row r="4372" spans="6:28"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</row>
    <row r="4373" spans="6:28"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</row>
    <row r="4374" spans="6:28"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</row>
    <row r="4375" spans="6:28"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</row>
    <row r="4376" spans="6:28"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</row>
    <row r="4377" spans="6:28"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</row>
    <row r="4378" spans="6:28"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</row>
    <row r="4379" spans="6:28"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</row>
    <row r="4380" spans="6:28"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</row>
    <row r="4381" spans="6:28"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</row>
    <row r="4382" spans="6:28"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</row>
    <row r="4383" spans="6:28"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</row>
    <row r="4384" spans="6:28"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</row>
    <row r="4385" spans="6:28"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</row>
    <row r="4386" spans="6:28"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</row>
    <row r="4387" spans="6:28"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</row>
    <row r="4388" spans="6:28"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</row>
    <row r="4389" spans="6:28"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</row>
    <row r="4390" spans="6:28"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</row>
    <row r="4391" spans="6:28"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</row>
    <row r="4392" spans="6:28"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</row>
    <row r="4393" spans="6:28"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</row>
    <row r="4394" spans="6:28"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</row>
    <row r="4395" spans="6:28"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</row>
    <row r="4396" spans="6:28"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</row>
    <row r="4397" spans="6:28"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</row>
    <row r="4398" spans="6:28"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</row>
    <row r="4399" spans="6:28"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</row>
    <row r="4400" spans="6:28"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</row>
    <row r="4401" spans="6:28"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</row>
    <row r="4402" spans="6:28"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</row>
    <row r="4403" spans="6:28"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</row>
    <row r="4404" spans="6:28"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</row>
    <row r="4405" spans="6:28"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</row>
    <row r="4406" spans="6:28"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</row>
    <row r="4407" spans="6:28"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</row>
    <row r="4408" spans="6:28"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</row>
    <row r="4409" spans="6:28"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</row>
    <row r="4410" spans="6:28"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</row>
    <row r="4411" spans="6:28"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</row>
    <row r="4412" spans="6:28"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</row>
    <row r="4413" spans="6:28"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</row>
    <row r="4414" spans="6:28"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</row>
    <row r="4415" spans="6:28"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</row>
    <row r="4416" spans="6:28"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</row>
    <row r="4417" spans="6:28"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</row>
    <row r="4418" spans="6:28"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</row>
    <row r="4419" spans="6:28"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</row>
    <row r="4420" spans="6:28"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</row>
    <row r="4421" spans="6:28"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</row>
    <row r="4422" spans="6:28"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</row>
    <row r="4423" spans="6:28"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</row>
    <row r="4424" spans="6:28"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</row>
    <row r="4425" spans="6:28"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</row>
    <row r="4426" spans="6:28"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</row>
    <row r="4427" spans="6:28"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</row>
    <row r="4428" spans="6:28"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</row>
    <row r="4429" spans="6:28"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</row>
    <row r="4430" spans="6:28"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</row>
    <row r="4431" spans="6:28"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</row>
    <row r="4432" spans="6:28"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</row>
    <row r="4433" spans="6:28"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</row>
    <row r="4434" spans="6:28"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</row>
    <row r="4435" spans="6:28"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</row>
    <row r="4436" spans="6:28"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</row>
    <row r="4437" spans="6:28"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</row>
    <row r="4438" spans="6:28"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</row>
    <row r="4439" spans="6:28"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</row>
    <row r="4440" spans="6:28"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</row>
    <row r="4441" spans="6:28"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</row>
    <row r="4442" spans="6:28"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</row>
    <row r="4443" spans="6:28"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</row>
    <row r="4444" spans="6:28"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</row>
    <row r="4445" spans="6:28"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</row>
    <row r="4446" spans="6:28"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</row>
    <row r="4447" spans="6:28"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</row>
    <row r="4448" spans="6:28"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</row>
    <row r="4449" spans="6:28"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</row>
    <row r="4450" spans="6:28"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</row>
    <row r="4451" spans="6:28"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</row>
    <row r="4452" spans="6:28"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</row>
    <row r="4453" spans="6:28"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</row>
    <row r="4454" spans="6:28"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</row>
    <row r="4455" spans="6:28"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</row>
    <row r="4456" spans="6:28"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</row>
    <row r="4457" spans="6:28"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</row>
    <row r="4458" spans="6:28"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</row>
    <row r="4459" spans="6:28"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</row>
    <row r="4460" spans="6:28"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</row>
    <row r="4461" spans="6:28"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</row>
    <row r="4462" spans="6:28"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</row>
    <row r="4463" spans="6:28"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</row>
    <row r="4464" spans="6:28"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</row>
    <row r="4465" spans="6:28"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</row>
    <row r="4466" spans="6:28"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</row>
    <row r="4467" spans="6:28"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</row>
    <row r="4468" spans="6:28"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</row>
    <row r="4469" spans="6:28"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</row>
    <row r="4470" spans="6:28"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</row>
    <row r="4471" spans="6:28"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</row>
    <row r="4472" spans="6:28"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</row>
    <row r="4473" spans="6:28"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</row>
    <row r="4474" spans="6:28"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</row>
    <row r="4475" spans="6:28"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</row>
    <row r="4476" spans="6:28"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</row>
    <row r="4477" spans="6:28"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</row>
    <row r="4478" spans="6:28"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</row>
    <row r="4479" spans="6:28"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</row>
    <row r="4480" spans="6:28"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</row>
    <row r="4481" spans="6:28"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</row>
    <row r="4482" spans="6:28"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</row>
    <row r="4483" spans="6:28"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</row>
    <row r="4484" spans="6:28"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</row>
    <row r="4485" spans="6:28"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</row>
    <row r="4486" spans="6:28"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</row>
    <row r="4487" spans="6:28"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</row>
    <row r="4488" spans="6:28"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</row>
    <row r="4489" spans="6:28"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</row>
    <row r="4490" spans="6:28"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</row>
    <row r="4491" spans="6:28"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</row>
    <row r="4492" spans="6:28"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</row>
    <row r="4493" spans="6:28"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</row>
    <row r="4494" spans="6:28"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</row>
    <row r="4495" spans="6:28"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</row>
    <row r="4496" spans="6:28"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</row>
    <row r="4497" spans="6:28"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</row>
    <row r="4498" spans="6:28"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</row>
    <row r="4499" spans="6:28"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</row>
    <row r="4500" spans="6:28"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</row>
    <row r="4501" spans="6:28"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</row>
    <row r="4502" spans="6:28"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</row>
    <row r="4503" spans="6:28"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</row>
    <row r="4504" spans="6:28"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</row>
    <row r="4505" spans="6:28"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</row>
    <row r="4506" spans="6:28"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</row>
    <row r="4507" spans="6:28"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</row>
    <row r="4508" spans="6:28"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</row>
    <row r="4509" spans="6:28"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</row>
    <row r="4510" spans="6:28"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</row>
    <row r="4511" spans="6:28"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</row>
    <row r="4512" spans="6:28"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</row>
    <row r="4513" spans="6:28"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</row>
    <row r="4514" spans="6:28"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</row>
    <row r="4515" spans="6:28"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</row>
    <row r="4516" spans="6:28"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</row>
    <row r="4517" spans="6:28"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</row>
    <row r="4518" spans="6:28"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</row>
    <row r="4519" spans="6:28"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</row>
    <row r="4520" spans="6:28"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</row>
    <row r="4521" spans="6:28"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</row>
    <row r="4522" spans="6:28"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</row>
    <row r="4523" spans="6:28"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</row>
    <row r="4524" spans="6:28"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</row>
    <row r="4525" spans="6:28"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</row>
    <row r="4526" spans="6:28"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</row>
    <row r="4527" spans="6:28"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</row>
    <row r="4528" spans="6:28"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</row>
    <row r="4529" spans="6:28"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</row>
    <row r="4530" spans="6:28"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</row>
    <row r="4531" spans="6:28"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</row>
    <row r="4532" spans="6:28"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</row>
    <row r="4533" spans="6:28"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</row>
    <row r="4534" spans="6:28"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</row>
    <row r="4535" spans="6:28"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</row>
    <row r="4536" spans="6:28"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</row>
    <row r="4537" spans="6:28"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</row>
    <row r="4538" spans="6:28"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</row>
    <row r="4539" spans="6:28"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</row>
    <row r="4540" spans="6:28"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</row>
    <row r="4541" spans="6:28"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</row>
    <row r="4542" spans="6:28"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</row>
    <row r="4543" spans="6:28"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</row>
    <row r="4544" spans="6:28"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</row>
    <row r="4545" spans="6:28"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</row>
    <row r="4546" spans="6:28"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</row>
    <row r="4547" spans="6:28"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</row>
    <row r="4548" spans="6:28"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</row>
    <row r="4549" spans="6:28"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</row>
    <row r="4550" spans="6:28"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</row>
    <row r="4551" spans="6:28"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</row>
    <row r="4552" spans="6:28"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</row>
    <row r="4553" spans="6:28"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</row>
    <row r="4554" spans="6:28"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</row>
    <row r="4555" spans="6:28"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</row>
    <row r="4556" spans="6:28"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</row>
    <row r="4557" spans="6:28"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</row>
    <row r="4558" spans="6:28"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</row>
    <row r="4559" spans="6:28"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</row>
    <row r="4560" spans="6:28"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</row>
    <row r="4561" spans="6:28"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</row>
    <row r="4562" spans="6:28"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</row>
    <row r="4563" spans="6:28"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</row>
    <row r="4564" spans="6:28"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</row>
    <row r="4565" spans="6:28"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</row>
    <row r="4566" spans="6:28"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</row>
    <row r="4567" spans="6:28"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</row>
    <row r="4568" spans="6:28"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</row>
    <row r="4569" spans="6:28"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</row>
    <row r="4570" spans="6:28"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</row>
    <row r="4571" spans="6:28"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</row>
    <row r="4572" spans="6:28"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</row>
    <row r="4573" spans="6:28"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</row>
    <row r="4574" spans="6:28"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</row>
    <row r="4575" spans="6:28"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</row>
    <row r="4576" spans="6:28"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</row>
    <row r="4577" spans="6:28"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</row>
    <row r="4578" spans="6:28"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</row>
    <row r="4579" spans="6:28"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</row>
    <row r="4580" spans="6:28"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</row>
    <row r="4581" spans="6:28"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</row>
    <row r="4582" spans="6:28"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</row>
    <row r="4583" spans="6:28"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</row>
    <row r="4584" spans="6:28"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</row>
    <row r="4585" spans="6:28"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</row>
    <row r="4586" spans="6:28"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</row>
    <row r="4587" spans="6:28"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</row>
    <row r="4588" spans="6:28"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</row>
    <row r="4589" spans="6:28"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</row>
    <row r="4590" spans="6:28"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</row>
    <row r="4591" spans="6:28"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</row>
    <row r="4592" spans="6:28"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</row>
    <row r="4593" spans="6:28"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</row>
    <row r="4594" spans="6:28"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</row>
    <row r="4595" spans="6:28"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</row>
    <row r="4596" spans="6:28"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</row>
    <row r="4597" spans="6:28"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</row>
    <row r="4598" spans="6:28"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</row>
    <row r="4599" spans="6:28"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</row>
    <row r="4600" spans="6:28"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</row>
    <row r="4601" spans="6:28"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</row>
    <row r="4602" spans="6:28"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</row>
    <row r="4603" spans="6:28"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</row>
    <row r="4604" spans="6:28"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</row>
    <row r="4605" spans="6:28"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</row>
    <row r="4606" spans="6:28"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</row>
    <row r="4607" spans="6:28"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</row>
    <row r="4608" spans="6:28"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</row>
    <row r="4609" spans="6:28"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</row>
    <row r="4610" spans="6:28"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</row>
    <row r="4611" spans="6:28"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</row>
    <row r="4612" spans="6:28"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</row>
    <row r="4613" spans="6:28"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</row>
    <row r="4614" spans="6:28"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</row>
    <row r="4615" spans="6:28"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</row>
    <row r="4616" spans="6:28"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</row>
    <row r="4617" spans="6:28"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</row>
    <row r="4618" spans="6:28"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</row>
    <row r="4619" spans="6:28"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</row>
    <row r="4620" spans="6:28"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</row>
    <row r="4621" spans="6:28"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</row>
    <row r="4622" spans="6:28"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</row>
    <row r="4623" spans="6:28"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</row>
    <row r="4624" spans="6:28"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</row>
    <row r="4625" spans="6:28"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</row>
    <row r="4626" spans="6:28"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</row>
    <row r="4627" spans="6:28"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</row>
    <row r="4628" spans="6:28"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</row>
    <row r="4629" spans="6:28"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</row>
    <row r="4630" spans="6:28"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</row>
    <row r="4631" spans="6:28"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</row>
    <row r="4632" spans="6:28"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</row>
    <row r="4633" spans="6:28"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</row>
    <row r="4634" spans="6:28"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</row>
    <row r="4635" spans="6:28"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</row>
    <row r="4636" spans="6:28"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</row>
    <row r="4637" spans="6:28"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</row>
    <row r="4638" spans="6:28"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</row>
    <row r="4639" spans="6:28"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</row>
    <row r="4640" spans="6:28"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</row>
    <row r="4641" spans="6:28"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</row>
    <row r="4642" spans="6:28"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</row>
    <row r="4643" spans="6:28"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</row>
    <row r="4644" spans="6:28"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</row>
    <row r="4645" spans="6:28"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</row>
    <row r="4646" spans="6:28"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</row>
    <row r="4647" spans="6:28"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</row>
    <row r="4648" spans="6:28"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</row>
    <row r="4649" spans="6:28"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</row>
    <row r="4650" spans="6:28"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</row>
    <row r="4651" spans="6:28"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</row>
    <row r="4652" spans="6:28"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</row>
    <row r="4653" spans="6:28"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</row>
    <row r="4654" spans="6:28"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</row>
    <row r="4655" spans="6:28"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</row>
    <row r="4656" spans="6:28"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</row>
    <row r="4657" spans="6:28"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</row>
    <row r="4658" spans="6:28"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</row>
    <row r="4659" spans="6:28"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</row>
    <row r="4660" spans="6:28"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</row>
    <row r="4661" spans="6:28"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</row>
    <row r="4662" spans="6:28"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</row>
    <row r="4663" spans="6:28"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</row>
    <row r="4664" spans="6:28"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</row>
    <row r="4665" spans="6:28"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</row>
    <row r="4666" spans="6:28"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</row>
    <row r="4667" spans="6:28"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</row>
    <row r="4668" spans="6:28"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</row>
    <row r="4669" spans="6:28"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</row>
    <row r="4670" spans="6:28"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</row>
    <row r="4671" spans="6:28"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</row>
    <row r="4672" spans="6:28"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</row>
    <row r="4673" spans="6:28"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</row>
    <row r="4674" spans="6:28"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</row>
    <row r="4675" spans="6:28"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</row>
    <row r="4676" spans="6:28"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</row>
    <row r="4677" spans="6:28"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</row>
    <row r="4678" spans="6:28"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</row>
    <row r="4679" spans="6:28"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</row>
    <row r="4680" spans="6:28"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</row>
    <row r="4681" spans="6:28"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</row>
    <row r="4682" spans="6:28"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</row>
    <row r="4683" spans="6:28"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</row>
    <row r="4684" spans="6:28"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</row>
    <row r="4685" spans="6:28"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</row>
    <row r="4686" spans="6:28"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</row>
    <row r="4687" spans="6:28"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</row>
    <row r="4688" spans="6:28"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</row>
    <row r="4689" spans="6:28"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</row>
    <row r="4690" spans="6:28"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</row>
    <row r="4691" spans="6:28"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</row>
    <row r="4692" spans="6:28"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</row>
    <row r="4693" spans="6:28"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</row>
    <row r="4694" spans="6:28"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</row>
    <row r="4695" spans="6:28"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</row>
    <row r="4696" spans="6:28"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</row>
    <row r="4697" spans="6:28"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</row>
    <row r="4698" spans="6:28"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</row>
    <row r="4699" spans="6:28"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</row>
    <row r="4700" spans="6:28"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</row>
    <row r="4701" spans="6:28"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</row>
    <row r="4702" spans="6:28"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</row>
    <row r="4703" spans="6:28"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</row>
    <row r="4704" spans="6:28"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</row>
    <row r="4705" spans="6:28"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</row>
    <row r="4706" spans="6:28"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</row>
    <row r="4707" spans="6:28"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</row>
    <row r="4708" spans="6:28"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</row>
    <row r="4709" spans="6:28"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</row>
    <row r="4710" spans="6:28"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</row>
    <row r="4711" spans="6:28"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</row>
    <row r="4712" spans="6:28"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</row>
    <row r="4713" spans="6:28"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</row>
    <row r="4714" spans="6:28"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</row>
    <row r="4715" spans="6:28"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</row>
    <row r="4716" spans="6:28"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</row>
    <row r="4717" spans="6:28"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</row>
    <row r="4718" spans="6:28"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</row>
    <row r="4719" spans="6:28"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</row>
    <row r="4720" spans="6:28"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</row>
    <row r="4721" spans="6:28"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</row>
    <row r="4722" spans="6:28"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</row>
    <row r="4723" spans="6:28"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</row>
    <row r="4724" spans="6:28"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</row>
    <row r="4725" spans="6:28"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</row>
    <row r="4726" spans="6:28"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</row>
    <row r="4727" spans="6:28"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</row>
    <row r="4728" spans="6:28"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</row>
    <row r="4729" spans="6:28"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</row>
    <row r="4730" spans="6:28"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</row>
    <row r="4731" spans="6:28"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</row>
    <row r="4732" spans="6:28"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</row>
    <row r="4733" spans="6:28"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</row>
    <row r="4734" spans="6:28"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</row>
    <row r="4735" spans="6:28"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</row>
    <row r="4736" spans="6:28"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</row>
    <row r="4737" spans="6:28"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</row>
    <row r="4738" spans="6:28"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</row>
    <row r="4739" spans="6:28"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</row>
    <row r="4740" spans="6:28"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</row>
    <row r="4741" spans="6:28"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</row>
    <row r="4742" spans="6:28"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</row>
    <row r="4743" spans="6:28"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</row>
    <row r="4744" spans="6:28"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</row>
    <row r="4745" spans="6:28"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</row>
    <row r="4746" spans="6:28"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</row>
    <row r="4747" spans="6:28"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</row>
    <row r="4748" spans="6:28"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</row>
    <row r="4749" spans="6:28"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</row>
    <row r="4750" spans="6:28"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</row>
    <row r="4751" spans="6:28"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</row>
    <row r="4752" spans="6:28"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</row>
    <row r="4753" spans="6:28"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</row>
    <row r="4754" spans="6:28"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</row>
    <row r="4755" spans="6:28"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</row>
    <row r="4756" spans="6:28"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</row>
    <row r="4757" spans="6:28"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</row>
    <row r="4758" spans="6:28"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</row>
    <row r="4759" spans="6:28"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</row>
    <row r="4760" spans="6:28"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</row>
    <row r="4761" spans="6:28"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</row>
    <row r="4762" spans="6:28"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</row>
    <row r="4763" spans="6:28"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</row>
    <row r="4764" spans="6:28"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</row>
    <row r="4765" spans="6:28"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</row>
    <row r="4766" spans="6:28"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</row>
    <row r="4767" spans="6:28"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</row>
    <row r="4768" spans="6:28"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</row>
    <row r="4769" spans="6:28"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</row>
    <row r="4770" spans="6:28"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</row>
    <row r="4771" spans="6:28"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</row>
    <row r="4772" spans="6:28"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</row>
    <row r="4773" spans="6:28"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</row>
    <row r="4774" spans="6:28"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</row>
    <row r="4775" spans="6:28"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</row>
    <row r="4776" spans="6:28"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</row>
    <row r="4777" spans="6:28"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</row>
    <row r="4778" spans="6:28"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</row>
    <row r="4779" spans="6:28"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</row>
    <row r="4780" spans="6:28"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</row>
    <row r="4781" spans="6:28"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</row>
    <row r="4782" spans="6:28"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</row>
    <row r="4783" spans="6:28"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</row>
    <row r="4784" spans="6:28"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</row>
    <row r="4785" spans="6:28"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</row>
    <row r="4786" spans="6:28"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</row>
    <row r="4787" spans="6:28"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</row>
    <row r="4788" spans="6:28"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</row>
    <row r="4789" spans="6:28"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</row>
    <row r="4790" spans="6:28"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</row>
    <row r="4791" spans="6:28"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</row>
    <row r="4792" spans="6:28"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</row>
    <row r="4793" spans="6:28"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</row>
    <row r="4794" spans="6:28"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</row>
    <row r="4795" spans="6:28"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</row>
    <row r="4796" spans="6:28"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</row>
    <row r="4797" spans="6:28"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</row>
    <row r="4798" spans="6:28"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</row>
    <row r="4799" spans="6:28"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</row>
    <row r="4800" spans="6:28"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</row>
    <row r="4801" spans="6:28"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</row>
    <row r="4802" spans="6:28"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</row>
    <row r="4803" spans="6:28"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</row>
    <row r="4804" spans="6:28"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</row>
    <row r="4805" spans="6:28"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</row>
    <row r="4806" spans="6:28"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</row>
    <row r="4807" spans="6:28"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</row>
    <row r="4808" spans="6:28"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</row>
    <row r="4809" spans="6:28"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</row>
    <row r="4810" spans="6:28"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</row>
    <row r="4811" spans="6:28"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</row>
    <row r="4812" spans="6:28"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</row>
    <row r="4813" spans="6:28"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</row>
    <row r="4814" spans="6:28"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</row>
    <row r="4815" spans="6:28"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</row>
    <row r="4816" spans="6:28"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</row>
    <row r="4817" spans="6:28"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</row>
    <row r="4818" spans="6:28"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</row>
    <row r="4819" spans="6:28"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</row>
    <row r="4820" spans="6:28"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</row>
    <row r="4821" spans="6:28"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</row>
    <row r="4822" spans="6:28"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</row>
    <row r="4823" spans="6:28"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</row>
    <row r="4824" spans="6:28"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</row>
    <row r="4825" spans="6:28"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</row>
    <row r="4826" spans="6:28"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</row>
    <row r="4827" spans="6:28"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</row>
    <row r="4828" spans="6:28"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</row>
    <row r="4829" spans="6:28"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</row>
    <row r="4830" spans="6:28"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</row>
    <row r="4831" spans="6:28"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</row>
    <row r="4832" spans="6:28"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</row>
    <row r="4833" spans="6:28"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</row>
    <row r="4834" spans="6:28"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</row>
    <row r="4835" spans="6:28"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</row>
    <row r="4836" spans="6:28"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</row>
    <row r="4837" spans="6:28"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</row>
    <row r="4838" spans="6:28"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</row>
    <row r="4839" spans="6:28"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</row>
    <row r="4840" spans="6:28"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</row>
    <row r="4841" spans="6:28"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</row>
    <row r="4842" spans="6:28"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</row>
    <row r="4843" spans="6:28"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</row>
    <row r="4844" spans="6:28"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</row>
    <row r="4845" spans="6:28"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</row>
    <row r="4846" spans="6:28"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</row>
    <row r="4847" spans="6:28"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</row>
    <row r="4848" spans="6:28"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</row>
    <row r="4849" spans="6:28"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</row>
    <row r="4850" spans="6:28"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</row>
    <row r="4851" spans="6:28"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</row>
    <row r="4852" spans="6:28"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</row>
    <row r="4853" spans="6:28"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</row>
    <row r="4854" spans="6:28"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</row>
    <row r="4855" spans="6:28"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</row>
    <row r="4856" spans="6:28"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</row>
    <row r="4857" spans="6:28"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</row>
    <row r="4858" spans="6:28"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</row>
    <row r="4859" spans="6:28"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</row>
    <row r="4860" spans="6:28"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</row>
    <row r="4861" spans="6:28"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</row>
    <row r="4862" spans="6:28"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</row>
    <row r="4863" spans="6:28"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</row>
    <row r="4864" spans="6:28"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</row>
    <row r="4865" spans="6:28"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</row>
    <row r="4866" spans="6:28"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</row>
    <row r="4867" spans="6:28"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</row>
    <row r="4868" spans="6:28"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</row>
    <row r="4869" spans="6:28"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</row>
    <row r="4870" spans="6:28"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</row>
    <row r="4871" spans="6:28"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</row>
    <row r="4872" spans="6:28"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</row>
    <row r="4873" spans="6:28"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</row>
    <row r="4874" spans="6:28"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</row>
    <row r="4875" spans="6:28"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</row>
    <row r="4876" spans="6:28"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</row>
    <row r="4877" spans="6:28"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</row>
    <row r="4878" spans="6:28"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</row>
    <row r="4879" spans="6:28"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</row>
    <row r="4880" spans="6:28"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</row>
    <row r="4881" spans="6:28"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</row>
    <row r="4882" spans="6:28"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</row>
    <row r="4883" spans="6:28"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</row>
    <row r="4884" spans="6:28"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</row>
    <row r="4885" spans="6:28"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</row>
    <row r="4886" spans="6:28"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</row>
    <row r="4887" spans="6:28"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</row>
    <row r="4888" spans="6:28"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</row>
    <row r="4889" spans="6:28"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</row>
    <row r="4890" spans="6:28"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</row>
    <row r="4891" spans="6:28"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</row>
    <row r="4892" spans="6:28"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</row>
    <row r="4893" spans="6:28"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</row>
    <row r="4894" spans="6:28"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</row>
    <row r="4895" spans="6:28"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</row>
    <row r="4896" spans="6:28"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</row>
    <row r="4897" spans="6:28"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</row>
    <row r="4898" spans="6:28"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</row>
    <row r="4899" spans="6:28"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</row>
    <row r="4900" spans="6:28"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</row>
    <row r="4901" spans="6:28"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</row>
    <row r="4902" spans="6:28"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</row>
    <row r="4903" spans="6:28"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</row>
    <row r="4904" spans="6:28"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</row>
    <row r="4905" spans="6:28"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</row>
    <row r="4906" spans="6:28"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</row>
    <row r="4907" spans="6:28"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</row>
    <row r="4908" spans="6:28"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</row>
    <row r="4909" spans="6:28"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</row>
    <row r="4910" spans="6:28"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</row>
    <row r="4911" spans="6:28"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</row>
    <row r="4912" spans="6:28"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</row>
    <row r="4913" spans="6:28"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</row>
    <row r="4914" spans="6:28"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</row>
    <row r="4915" spans="6:28"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</row>
    <row r="4916" spans="6:28"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</row>
    <row r="4917" spans="6:28"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</row>
    <row r="4918" spans="6:28"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</row>
    <row r="4919" spans="6:28"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</row>
    <row r="4920" spans="6:28"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</row>
    <row r="4921" spans="6:28"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</row>
    <row r="4922" spans="6:28"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</row>
    <row r="4923" spans="6:28"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</row>
    <row r="4924" spans="6:28"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</row>
    <row r="4925" spans="6:28"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</row>
    <row r="4926" spans="6:28"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</row>
    <row r="4927" spans="6:28"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</row>
    <row r="4928" spans="6:28"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</row>
    <row r="4929" spans="6:28"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</row>
    <row r="4930" spans="6:28"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</row>
    <row r="4931" spans="6:28"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</row>
    <row r="4932" spans="6:28"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</row>
    <row r="4933" spans="6:28"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</row>
    <row r="4934" spans="6:28"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</row>
    <row r="4935" spans="6:28"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</row>
    <row r="4936" spans="6:28"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</row>
    <row r="4937" spans="6:28"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</row>
    <row r="4938" spans="6:28"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</row>
    <row r="4939" spans="6:28"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</row>
    <row r="4940" spans="6:28"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</row>
    <row r="4941" spans="6:28"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</row>
    <row r="4942" spans="6:28"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</row>
    <row r="4943" spans="6:28"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</row>
    <row r="4944" spans="6:28"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</row>
    <row r="4945" spans="6:28"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</row>
    <row r="4946" spans="6:28"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</row>
    <row r="4947" spans="6:28"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</row>
    <row r="4948" spans="6:28"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</row>
    <row r="4949" spans="6:28"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</row>
    <row r="4950" spans="6:28"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</row>
    <row r="4951" spans="6:28"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</row>
    <row r="4952" spans="6:28"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</row>
    <row r="4953" spans="6:28"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</row>
    <row r="4954" spans="6:28"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</row>
    <row r="4955" spans="6:28"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</row>
    <row r="4956" spans="6:28"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</row>
    <row r="4957" spans="6:28"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</row>
    <row r="4958" spans="6:28"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</row>
    <row r="4959" spans="6:28"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</row>
    <row r="4960" spans="6:28"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</row>
    <row r="4961" spans="6:28"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</row>
    <row r="4962" spans="6:28"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</row>
    <row r="4963" spans="6:28"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</row>
    <row r="4964" spans="6:28"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</row>
    <row r="4965" spans="6:28"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</row>
    <row r="4966" spans="6:28"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</row>
    <row r="4967" spans="6:28"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</row>
    <row r="4968" spans="6:28"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</row>
    <row r="4969" spans="6:28"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</row>
    <row r="4970" spans="6:28"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</row>
    <row r="4971" spans="6:28"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</row>
    <row r="4972" spans="6:28"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</row>
    <row r="4973" spans="6:28"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</row>
    <row r="4974" spans="6:28"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</row>
    <row r="4975" spans="6:28"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</row>
    <row r="4976" spans="6:28"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</row>
    <row r="4977" spans="6:28"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</row>
    <row r="4978" spans="6:28"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</row>
    <row r="4979" spans="6:28"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</row>
    <row r="4980" spans="6:28"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</row>
    <row r="4981" spans="6:28"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</row>
    <row r="4982" spans="6:28"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</row>
    <row r="4983" spans="6:28"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</row>
    <row r="4984" spans="6:28"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</row>
    <row r="4985" spans="6:28"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</row>
    <row r="4986" spans="6:28"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</row>
    <row r="4987" spans="6:28"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</row>
    <row r="4988" spans="6:28"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</row>
    <row r="4989" spans="6:28"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</row>
    <row r="4990" spans="6:28"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</row>
    <row r="4991" spans="6:28"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</row>
    <row r="4992" spans="6:28"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</row>
    <row r="4993" spans="6:28"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</row>
    <row r="4994" spans="6:28"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</row>
    <row r="4995" spans="6:28"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</row>
    <row r="4996" spans="6:28"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</row>
    <row r="4997" spans="6:28"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</row>
    <row r="4998" spans="6:28"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</row>
    <row r="4999" spans="6:28"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</row>
    <row r="5000" spans="6:28"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</row>
    <row r="5001" spans="6:28"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</row>
    <row r="5002" spans="6:28"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</row>
    <row r="5003" spans="6:28"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</row>
    <row r="5004" spans="6:28"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</row>
    <row r="5005" spans="6:28"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</row>
    <row r="5006" spans="6:28"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</row>
    <row r="5007" spans="6:28"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</row>
    <row r="5008" spans="6:28"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</row>
    <row r="5009" spans="6:28"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</row>
    <row r="5010" spans="6:28"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</row>
    <row r="5011" spans="6:28"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</row>
    <row r="5012" spans="6:28"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</row>
    <row r="5013" spans="6:28"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</row>
    <row r="5014" spans="6:28"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</row>
    <row r="5015" spans="6:28"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</row>
    <row r="5016" spans="6:28"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</row>
    <row r="5017" spans="6:28"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</row>
    <row r="5018" spans="6:28"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</row>
    <row r="5019" spans="6:28"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</row>
    <row r="5020" spans="6:28"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</row>
    <row r="5021" spans="6:28"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</row>
    <row r="5022" spans="6:28"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</row>
    <row r="5023" spans="6:28"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</row>
    <row r="5024" spans="6:28"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</row>
    <row r="5025" spans="6:28"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</row>
    <row r="5026" spans="6:28"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</row>
    <row r="5027" spans="6:28"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</row>
    <row r="5028" spans="6:28"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</row>
    <row r="5029" spans="6:28"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</row>
    <row r="5030" spans="6:28"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</row>
    <row r="5031" spans="6:28"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</row>
    <row r="5032" spans="6:28"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</row>
    <row r="5033" spans="6:28"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</row>
    <row r="5034" spans="6:28"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</row>
    <row r="5035" spans="6:28"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</row>
    <row r="5036" spans="6:28"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</row>
    <row r="5037" spans="6:28"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</row>
    <row r="5038" spans="6:28"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</row>
    <row r="5039" spans="6:28"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</row>
    <row r="5040" spans="6:28"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</row>
    <row r="5041" spans="6:28"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</row>
    <row r="5042" spans="6:28"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</row>
    <row r="5043" spans="6:28"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</row>
    <row r="5044" spans="6:28"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</row>
    <row r="5045" spans="6:28"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</row>
    <row r="5046" spans="6:28"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</row>
    <row r="5047" spans="6:28"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</row>
    <row r="5048" spans="6:28"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</row>
    <row r="5049" spans="6:28"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</row>
    <row r="5050" spans="6:28"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</row>
    <row r="5051" spans="6:28"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</row>
    <row r="5052" spans="6:28"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</row>
    <row r="5053" spans="6:28"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</row>
    <row r="5054" spans="6:28"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</row>
    <row r="5055" spans="6:28"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</row>
    <row r="5056" spans="6:28"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</row>
    <row r="5057" spans="6:28"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</row>
    <row r="5058" spans="6:28"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</row>
    <row r="5059" spans="6:28"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</row>
    <row r="5060" spans="6:28"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</row>
    <row r="5061" spans="6:28"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</row>
    <row r="5062" spans="6:28"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</row>
    <row r="5063" spans="6:28"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</row>
    <row r="5064" spans="6:28"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</row>
    <row r="5065" spans="6:28"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</row>
    <row r="5066" spans="6:28"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</row>
    <row r="5067" spans="6:28"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</row>
    <row r="5068" spans="6:28"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</row>
    <row r="5069" spans="6:28"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</row>
    <row r="5070" spans="6:28"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</row>
    <row r="5071" spans="6:28"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</row>
    <row r="5072" spans="6:28"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</row>
    <row r="5073" spans="6:28"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</row>
    <row r="5074" spans="6:28"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</row>
    <row r="5075" spans="6:28"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</row>
    <row r="5076" spans="6:28"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</row>
    <row r="5077" spans="6:28"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</row>
    <row r="5078" spans="6:28"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</row>
    <row r="5079" spans="6:28"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</row>
    <row r="5080" spans="6:28"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</row>
    <row r="5081" spans="6:28"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</row>
    <row r="5082" spans="6:28"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</row>
    <row r="5083" spans="6:28"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</row>
    <row r="5084" spans="6:28"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</row>
    <row r="5085" spans="6:28"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</row>
    <row r="5086" spans="6:28"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</row>
    <row r="5087" spans="6:28"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</row>
    <row r="5088" spans="6:28"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</row>
    <row r="5089" spans="6:28"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</row>
    <row r="5090" spans="6:28"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</row>
    <row r="5091" spans="6:28"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</row>
    <row r="5092" spans="6:28"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</row>
    <row r="5093" spans="6:28"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</row>
    <row r="5094" spans="6:28"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</row>
    <row r="5095" spans="6:28"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</row>
    <row r="5096" spans="6:28"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</row>
    <row r="5097" spans="6:28"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</row>
    <row r="5098" spans="6:28"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</row>
    <row r="5099" spans="6:28"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</row>
    <row r="5100" spans="6:28"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</row>
    <row r="5101" spans="6:28"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</row>
    <row r="5102" spans="6:28"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</row>
    <row r="5103" spans="6:28"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</row>
    <row r="5104" spans="6:28"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</row>
    <row r="5105" spans="6:28"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</row>
    <row r="5106" spans="6:28"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</row>
    <row r="5107" spans="6:28"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</row>
    <row r="5108" spans="6:28"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</row>
    <row r="5109" spans="6:28"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</row>
    <row r="5110" spans="6:28"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</row>
    <row r="5111" spans="6:28"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</row>
    <row r="5112" spans="6:28"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</row>
    <row r="5113" spans="6:28"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</row>
    <row r="5114" spans="6:28"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</row>
    <row r="5115" spans="6:28"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</row>
    <row r="5116" spans="6:28"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</row>
    <row r="5117" spans="6:28"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</row>
    <row r="5118" spans="6:28"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</row>
    <row r="5119" spans="6:28"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</row>
    <row r="5120" spans="6:28"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</row>
    <row r="5121" spans="6:28"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</row>
    <row r="5122" spans="6:28"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</row>
    <row r="5123" spans="6:28"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</row>
    <row r="5124" spans="6:28"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</row>
    <row r="5125" spans="6:28"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</row>
    <row r="5126" spans="6:28"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</row>
    <row r="5127" spans="6:28"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</row>
    <row r="5128" spans="6:28"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</row>
    <row r="5129" spans="6:28"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</row>
    <row r="5130" spans="6:28"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</row>
    <row r="5131" spans="6:28"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</row>
    <row r="5132" spans="6:28"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</row>
    <row r="5133" spans="6:28"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</row>
    <row r="5134" spans="6:28"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</row>
    <row r="5135" spans="6:28"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</row>
    <row r="5136" spans="6:28"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</row>
    <row r="5137" spans="6:28"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</row>
    <row r="5138" spans="6:28"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</row>
    <row r="5139" spans="6:28"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</row>
    <row r="5140" spans="6:28"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</row>
    <row r="5141" spans="6:28"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</row>
    <row r="5142" spans="6:28"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</row>
    <row r="5143" spans="6:28"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</row>
    <row r="5144" spans="6:28"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</row>
    <row r="5145" spans="6:28"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</row>
    <row r="5146" spans="6:28"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</row>
    <row r="5147" spans="6:28"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</row>
    <row r="5148" spans="6:28"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</row>
    <row r="5149" spans="6:28"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</row>
    <row r="5150" spans="6:28"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</row>
    <row r="5151" spans="6:28"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</row>
    <row r="5152" spans="6:28"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</row>
    <row r="5153" spans="6:28"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</row>
    <row r="5154" spans="6:28"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</row>
    <row r="5155" spans="6:28"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</row>
    <row r="5156" spans="6:28"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</row>
    <row r="5157" spans="6:28"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</row>
    <row r="5158" spans="6:28"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</row>
    <row r="5159" spans="6:28"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</row>
    <row r="5160" spans="6:28"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</row>
    <row r="5161" spans="6:28"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</row>
    <row r="5162" spans="6:28"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</row>
    <row r="5163" spans="6:28"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</row>
    <row r="5164" spans="6:28"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</row>
    <row r="5165" spans="6:28"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</row>
    <row r="5166" spans="6:28"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</row>
    <row r="5167" spans="6:28"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</row>
    <row r="5168" spans="6:28"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</row>
    <row r="5169" spans="6:28"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</row>
    <row r="5170" spans="6:28"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</row>
    <row r="5171" spans="6:28"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</row>
    <row r="5172" spans="6:28"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</row>
    <row r="5173" spans="6:28"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</row>
    <row r="5174" spans="6:28"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</row>
    <row r="5175" spans="6:28"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</row>
    <row r="5176" spans="6:28"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</row>
    <row r="5177" spans="6:28"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</row>
    <row r="5178" spans="6:28"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</row>
    <row r="5179" spans="6:28"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</row>
    <row r="5180" spans="6:28"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</row>
    <row r="5181" spans="6:28"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</row>
    <row r="5182" spans="6:28"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</row>
    <row r="5183" spans="6:28"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</row>
    <row r="5184" spans="6:28"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</row>
    <row r="5185" spans="6:28"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</row>
    <row r="5186" spans="6:28"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</row>
    <row r="5187" spans="6:28"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</row>
    <row r="5188" spans="6:28"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</row>
    <row r="5189" spans="6:28"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</row>
    <row r="5190" spans="6:28"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</row>
    <row r="5191" spans="6:28"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</row>
    <row r="5192" spans="6:28"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</row>
    <row r="5193" spans="6:28"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</row>
    <row r="5194" spans="6:28"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</row>
    <row r="5195" spans="6:28"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</row>
    <row r="5196" spans="6:28"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</row>
    <row r="5197" spans="6:28"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</row>
    <row r="5198" spans="6:28"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</row>
    <row r="5199" spans="6:28"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</row>
    <row r="5200" spans="6:28"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</row>
    <row r="5201" spans="6:28"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</row>
    <row r="5202" spans="6:28"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</row>
    <row r="5203" spans="6:28"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</row>
    <row r="5204" spans="6:28"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</row>
    <row r="5205" spans="6:28"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</row>
    <row r="5206" spans="6:28"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</row>
    <row r="5207" spans="6:28"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</row>
    <row r="5208" spans="6:28"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</row>
    <row r="5209" spans="6:28"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</row>
    <row r="5210" spans="6:28"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</row>
    <row r="5211" spans="6:28"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</row>
    <row r="5212" spans="6:28"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</row>
    <row r="5213" spans="6:28"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</row>
    <row r="5214" spans="6:28"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</row>
    <row r="5215" spans="6:28"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</row>
    <row r="5216" spans="6:28"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</row>
    <row r="5217" spans="6:28"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</row>
    <row r="5218" spans="6:28"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</row>
    <row r="5219" spans="6:28"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</row>
    <row r="5220" spans="6:28"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</row>
    <row r="5221" spans="6:28"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</row>
    <row r="5222" spans="6:28"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</row>
    <row r="5223" spans="6:28"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</row>
    <row r="5224" spans="6:28"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</row>
    <row r="5225" spans="6:28"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</row>
    <row r="5226" spans="6:28"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</row>
    <row r="5227" spans="6:28"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</row>
    <row r="5228" spans="6:28"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</row>
    <row r="5229" spans="6:28"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</row>
    <row r="5230" spans="6:28"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</row>
    <row r="5231" spans="6:28"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</row>
    <row r="5232" spans="6:28"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</row>
    <row r="5233" spans="6:28"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</row>
    <row r="5234" spans="6:28"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</row>
    <row r="5235" spans="6:28"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</row>
    <row r="5236" spans="6:28"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</row>
    <row r="5237" spans="6:28"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</row>
    <row r="5238" spans="6:28"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</row>
    <row r="5239" spans="6:28"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</row>
    <row r="5240" spans="6:28"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</row>
    <row r="5241" spans="6:28"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</row>
    <row r="5242" spans="6:28"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</row>
    <row r="5243" spans="6:28"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</row>
    <row r="5244" spans="6:28"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</row>
    <row r="5245" spans="6:28"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</row>
    <row r="5246" spans="6:28"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</row>
    <row r="5247" spans="6:28"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</row>
    <row r="5248" spans="6:28"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</row>
    <row r="5249" spans="6:28"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</row>
    <row r="5250" spans="6:28"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</row>
    <row r="5251" spans="6:28"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</row>
    <row r="5252" spans="6:28"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</row>
    <row r="5253" spans="6:28"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</row>
    <row r="5254" spans="6:28"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</row>
    <row r="5255" spans="6:28"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</row>
    <row r="5256" spans="6:28"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</row>
    <row r="5257" spans="6:28"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</row>
    <row r="5258" spans="6:28"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</row>
    <row r="5259" spans="6:28"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</row>
    <row r="5260" spans="6:28"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</row>
    <row r="5261" spans="6:28"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</row>
    <row r="5262" spans="6:28"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</row>
    <row r="5263" spans="6:28"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</row>
    <row r="5264" spans="6:28"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</row>
    <row r="5265" spans="6:28"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</row>
    <row r="5266" spans="6:28"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</row>
    <row r="5267" spans="6:28"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</row>
    <row r="5268" spans="6:28"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</row>
    <row r="5269" spans="6:28"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</row>
    <row r="5270" spans="6:28"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</row>
    <row r="5271" spans="6:28"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</row>
    <row r="5272" spans="6:28"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</row>
    <row r="5273" spans="6:28"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</row>
    <row r="5274" spans="6:28"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</row>
    <row r="5275" spans="6:28"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</row>
    <row r="5276" spans="6:28"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</row>
    <row r="5277" spans="6:28"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</row>
    <row r="5278" spans="6:28"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</row>
    <row r="5279" spans="6:28"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</row>
    <row r="5280" spans="6:28"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</row>
    <row r="5281" spans="6:28"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</row>
    <row r="5282" spans="6:28"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</row>
    <row r="5283" spans="6:28"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</row>
    <row r="5284" spans="6:28"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</row>
    <row r="5285" spans="6:28"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</row>
    <row r="5286" spans="6:28"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</row>
    <row r="5287" spans="6:28"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</row>
    <row r="5288" spans="6:28"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</row>
    <row r="5289" spans="6:28"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</row>
    <row r="5290" spans="6:28"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</row>
    <row r="5291" spans="6:28"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</row>
    <row r="5292" spans="6:28"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</row>
    <row r="5293" spans="6:28"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</row>
    <row r="5294" spans="6:28"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</row>
    <row r="5295" spans="6:28"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</row>
    <row r="5296" spans="6:28"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</row>
    <row r="5297" spans="6:28"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</row>
    <row r="5298" spans="6:28"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</row>
    <row r="5299" spans="6:28"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</row>
    <row r="5300" spans="6:28"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</row>
    <row r="5301" spans="6:28"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</row>
    <row r="5302" spans="6:28"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</row>
    <row r="5303" spans="6:28"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</row>
    <row r="5304" spans="6:28"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</row>
    <row r="5305" spans="6:28"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</row>
    <row r="5306" spans="6:28"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</row>
    <row r="5307" spans="6:28"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</row>
    <row r="5308" spans="6:28"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</row>
    <row r="5309" spans="6:28"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</row>
    <row r="5310" spans="6:28"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</row>
    <row r="5311" spans="6:28"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</row>
    <row r="5312" spans="6:28"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</row>
    <row r="5313" spans="6:28"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</row>
    <row r="5314" spans="6:28"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</row>
    <row r="5315" spans="6:28"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</row>
    <row r="5316" spans="6:28"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</row>
    <row r="5317" spans="6:28"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</row>
    <row r="5318" spans="6:28"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</row>
    <row r="5319" spans="6:28"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</row>
    <row r="5320" spans="6:28"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</row>
    <row r="5321" spans="6:28"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</row>
    <row r="5322" spans="6:28"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</row>
    <row r="5323" spans="6:28"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</row>
    <row r="5324" spans="6:28"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</row>
    <row r="5325" spans="6:28"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</row>
    <row r="5326" spans="6:28"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</row>
    <row r="5327" spans="6:28"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</row>
    <row r="5328" spans="6:28"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</row>
    <row r="5329" spans="6:28"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</row>
    <row r="5330" spans="6:28"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</row>
    <row r="5331" spans="6:28"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</row>
    <row r="5332" spans="6:28"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</row>
    <row r="5333" spans="6:28"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</row>
    <row r="5334" spans="6:28"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</row>
    <row r="5335" spans="6:28"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</row>
    <row r="5336" spans="6:28"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</row>
    <row r="5337" spans="6:28"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</row>
    <row r="5338" spans="6:28"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</row>
    <row r="5339" spans="6:28"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</row>
    <row r="5340" spans="6:28"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</row>
    <row r="5341" spans="6:28"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</row>
    <row r="5342" spans="6:28"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</row>
    <row r="5343" spans="6:28"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</row>
    <row r="5344" spans="6:28"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</row>
    <row r="5345" spans="6:28"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</row>
    <row r="5346" spans="6:28"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</row>
    <row r="5347" spans="6:28"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</row>
    <row r="5348" spans="6:28"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</row>
    <row r="5349" spans="6:28"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</row>
    <row r="5350" spans="6:28"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</row>
    <row r="5351" spans="6:28"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</row>
    <row r="5352" spans="6:28"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</row>
    <row r="5353" spans="6:28"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</row>
    <row r="5354" spans="6:28"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</row>
    <row r="5355" spans="6:28"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</row>
    <row r="5356" spans="6:28"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</row>
    <row r="5357" spans="6:28"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</row>
    <row r="5358" spans="6:28"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</row>
    <row r="5359" spans="6:28"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</row>
    <row r="5360" spans="6:28"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</row>
    <row r="5361" spans="6:28"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</row>
    <row r="5362" spans="6:28"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</row>
    <row r="5363" spans="6:28"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</row>
    <row r="5364" spans="6:28"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</row>
    <row r="5365" spans="6:28"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</row>
    <row r="5366" spans="6:28"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</row>
    <row r="5367" spans="6:28"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</row>
    <row r="5368" spans="6:28"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</row>
    <row r="5369" spans="6:28"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</row>
    <row r="5370" spans="6:28"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</row>
    <row r="5371" spans="6:28"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</row>
    <row r="5372" spans="6:28"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</row>
    <row r="5373" spans="6:28"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</row>
    <row r="5374" spans="6:28"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</row>
    <row r="5375" spans="6:28"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</row>
    <row r="5376" spans="6:28"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</row>
    <row r="5377" spans="6:28"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</row>
    <row r="5378" spans="6:28"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</row>
    <row r="5379" spans="6:28"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</row>
    <row r="5380" spans="6:28"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</row>
    <row r="5381" spans="6:28"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</row>
    <row r="5382" spans="6:28"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</row>
    <row r="5383" spans="6:28"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</row>
    <row r="5384" spans="6:28"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</row>
    <row r="5385" spans="6:28"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</row>
    <row r="5386" spans="6:28"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</row>
    <row r="5387" spans="6:28"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</row>
    <row r="5388" spans="6:28"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</row>
    <row r="5389" spans="6:28"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</row>
    <row r="5390" spans="6:28"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</row>
    <row r="5391" spans="6:28"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</row>
    <row r="5392" spans="6:28"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</row>
    <row r="5393" spans="6:28"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</row>
    <row r="5394" spans="6:28"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</row>
    <row r="5395" spans="6:28"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</row>
    <row r="5396" spans="6:28"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</row>
    <row r="5397" spans="6:28"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</row>
    <row r="5398" spans="6:28"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</row>
    <row r="5399" spans="6:28"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</row>
    <row r="5400" spans="6:28"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</row>
    <row r="5401" spans="6:28"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</row>
    <row r="5402" spans="6:28"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</row>
    <row r="5403" spans="6:28"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</row>
    <row r="5404" spans="6:28"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</row>
    <row r="5405" spans="6:28"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</row>
    <row r="5406" spans="6:28"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</row>
    <row r="5407" spans="6:28"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</row>
    <row r="5408" spans="6:28"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</row>
    <row r="5409" spans="6:28"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</row>
    <row r="5410" spans="6:28"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</row>
    <row r="5411" spans="6:28"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</row>
    <row r="5412" spans="6:28"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</row>
    <row r="5413" spans="6:28"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</row>
    <row r="5414" spans="6:28"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</row>
    <row r="5415" spans="6:28"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</row>
    <row r="5416" spans="6:28"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</row>
    <row r="5417" spans="6:28"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</row>
    <row r="5418" spans="6:28"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</row>
    <row r="5419" spans="6:28"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</row>
    <row r="5420" spans="6:28"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</row>
    <row r="5421" spans="6:28"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</row>
    <row r="5422" spans="6:28"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</row>
    <row r="5423" spans="6:28"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</row>
    <row r="5424" spans="6:28"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</row>
    <row r="5425" spans="6:28"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</row>
    <row r="5426" spans="6:28"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</row>
    <row r="5427" spans="6:28"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</row>
    <row r="5428" spans="6:28"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</row>
    <row r="5429" spans="6:28"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</row>
    <row r="5430" spans="6:28"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</row>
    <row r="5431" spans="6:28"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</row>
    <row r="5432" spans="6:28"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</row>
    <row r="5433" spans="6:28"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</row>
    <row r="5434" spans="6:28"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</row>
    <row r="5435" spans="6:28"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</row>
    <row r="5436" spans="6:28"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</row>
    <row r="5437" spans="6:28"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</row>
    <row r="5438" spans="6:28"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</row>
    <row r="5439" spans="6:28"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</row>
    <row r="5440" spans="6:28"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</row>
    <row r="5441" spans="6:28"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</row>
    <row r="5442" spans="6:28"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</row>
    <row r="5443" spans="6:28"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</row>
    <row r="5444" spans="6:28"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</row>
    <row r="5445" spans="6:28"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</row>
    <row r="5446" spans="6:28"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</row>
    <row r="5447" spans="6:28"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</row>
    <row r="5448" spans="6:28"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</row>
    <row r="5449" spans="6:28"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</row>
    <row r="5450" spans="6:28"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</row>
    <row r="5451" spans="6:28"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</row>
    <row r="5452" spans="6:28"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</row>
    <row r="5453" spans="6:28"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</row>
    <row r="5454" spans="6:28"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</row>
    <row r="5455" spans="6:28"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</row>
    <row r="5456" spans="6:28"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</row>
    <row r="5457" spans="6:28"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</row>
    <row r="5458" spans="6:28"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</row>
    <row r="5459" spans="6:28"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</row>
    <row r="5460" spans="6:28"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</row>
    <row r="5461" spans="6:28"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</row>
    <row r="5462" spans="6:28"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</row>
    <row r="5463" spans="6:28"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</row>
    <row r="5464" spans="6:28"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</row>
    <row r="5465" spans="6:28"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</row>
    <row r="5466" spans="6:28"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</row>
    <row r="5467" spans="6:28"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</row>
    <row r="5468" spans="6:28"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</row>
    <row r="5469" spans="6:28"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</row>
    <row r="5470" spans="6:28"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</row>
    <row r="5471" spans="6:28"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</row>
    <row r="5472" spans="6:28"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</row>
    <row r="5473" spans="6:28"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</row>
    <row r="5474" spans="6:28"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</row>
    <row r="5475" spans="6:28"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</row>
    <row r="5476" spans="6:28"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</row>
    <row r="5477" spans="6:28"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</row>
    <row r="5478" spans="6:28"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</row>
    <row r="5479" spans="6:28"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</row>
    <row r="5480" spans="6:28"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</row>
    <row r="5481" spans="6:28"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</row>
    <row r="5482" spans="6:28"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</row>
    <row r="5483" spans="6:28"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</row>
    <row r="5484" spans="6:28"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</row>
    <row r="5485" spans="6:28"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</row>
    <row r="5486" spans="6:28"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</row>
    <row r="5487" spans="6:28"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</row>
    <row r="5488" spans="6:28"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</row>
    <row r="5489" spans="6:28"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</row>
    <row r="5490" spans="6:28"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</row>
    <row r="5491" spans="6:28"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</row>
    <row r="5492" spans="6:28"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</row>
    <row r="5493" spans="6:28"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</row>
    <row r="5494" spans="6:28"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</row>
    <row r="5495" spans="6:28"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</row>
    <row r="5496" spans="6:28"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</row>
    <row r="5497" spans="6:28"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</row>
    <row r="5498" spans="6:28"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</row>
    <row r="5499" spans="6:28"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</row>
    <row r="5500" spans="6:28"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</row>
    <row r="5501" spans="6:28"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</row>
    <row r="5502" spans="6:28"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</row>
    <row r="5503" spans="6:28"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</row>
    <row r="5504" spans="6:28"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</row>
    <row r="5505" spans="6:28"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</row>
    <row r="5506" spans="6:28"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</row>
    <row r="5507" spans="6:28"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</row>
    <row r="5508" spans="6:28"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</row>
    <row r="5509" spans="6:28"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</row>
    <row r="5510" spans="6:28"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</row>
    <row r="5511" spans="6:28"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</row>
    <row r="5512" spans="6:28"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</row>
    <row r="5513" spans="6:28"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</row>
    <row r="5514" spans="6:28"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</row>
    <row r="5515" spans="6:28"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</row>
    <row r="5516" spans="6:28"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</row>
    <row r="5517" spans="6:28"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</row>
    <row r="5518" spans="6:28"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</row>
    <row r="5519" spans="6:28"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</row>
    <row r="5520" spans="6:28"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</row>
    <row r="5521" spans="6:28"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</row>
    <row r="5522" spans="6:28"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</row>
    <row r="5523" spans="6:28"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</row>
    <row r="5524" spans="6:28"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</row>
    <row r="5525" spans="6:28"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</row>
    <row r="5526" spans="6:28"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</row>
    <row r="5527" spans="6:28"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</row>
    <row r="5528" spans="6:28"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</row>
    <row r="5529" spans="6:28"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</row>
    <row r="5530" spans="6:28"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</row>
    <row r="5531" spans="6:28"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</row>
    <row r="5532" spans="6:28"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</row>
    <row r="5533" spans="6:28"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</row>
    <row r="5534" spans="6:28"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</row>
    <row r="5535" spans="6:28"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</row>
    <row r="5536" spans="6:28"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</row>
    <row r="5537" spans="6:28"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</row>
    <row r="5538" spans="6:28"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</row>
    <row r="5539" spans="6:28"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</row>
    <row r="5540" spans="6:28"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</row>
    <row r="5541" spans="6:28"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</row>
    <row r="5542" spans="6:28"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</row>
    <row r="5543" spans="6:28"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</row>
    <row r="5544" spans="6:28"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</row>
    <row r="5545" spans="6:28"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</row>
    <row r="5546" spans="6:28"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</row>
    <row r="5547" spans="6:28"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</row>
    <row r="5548" spans="6:28"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</row>
    <row r="5549" spans="6:28"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</row>
    <row r="5550" spans="6:28"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</row>
    <row r="5551" spans="6:28"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</row>
    <row r="5552" spans="6:28"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</row>
    <row r="5553" spans="6:28"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</row>
    <row r="5554" spans="6:28"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</row>
    <row r="5555" spans="6:28"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</row>
    <row r="5556" spans="6:28"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</row>
    <row r="5557" spans="6:28"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</row>
    <row r="5558" spans="6:28"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</row>
    <row r="5559" spans="6:28"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</row>
    <row r="5560" spans="6:28"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</row>
    <row r="5561" spans="6:28"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</row>
    <row r="5562" spans="6:28"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</row>
    <row r="5563" spans="6:28"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</row>
    <row r="5564" spans="6:28"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</row>
    <row r="5565" spans="6:28"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</row>
    <row r="5566" spans="6:28"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</row>
    <row r="5567" spans="6:28"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</row>
    <row r="5568" spans="6:28"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</row>
    <row r="5569" spans="6:28"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</row>
    <row r="5570" spans="6:28"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</row>
    <row r="5571" spans="6:28"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</row>
    <row r="5572" spans="6:28"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</row>
    <row r="5573" spans="6:28"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</row>
    <row r="5574" spans="6:28"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</row>
    <row r="5575" spans="6:28"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</row>
    <row r="5576" spans="6:28"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</row>
    <row r="5577" spans="6:28"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</row>
    <row r="5578" spans="6:28"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</row>
    <row r="5579" spans="6:28"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</row>
    <row r="5580" spans="6:28"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</row>
    <row r="5581" spans="6:28"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</row>
    <row r="5582" spans="6:28"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</row>
    <row r="5583" spans="6:28"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</row>
    <row r="5584" spans="6:28"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</row>
    <row r="5585" spans="6:28"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</row>
    <row r="5586" spans="6:28"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</row>
    <row r="5587" spans="6:28"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</row>
    <row r="5588" spans="6:28"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</row>
    <row r="5589" spans="6:28"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</row>
    <row r="5590" spans="6:28"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</row>
    <row r="5591" spans="6:28"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</row>
    <row r="5592" spans="6:28"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</row>
    <row r="5593" spans="6:28"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</row>
    <row r="5594" spans="6:28"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</row>
    <row r="5595" spans="6:28"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</row>
    <row r="5596" spans="6:28"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</row>
    <row r="5597" spans="6:28"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</row>
    <row r="5598" spans="6:28"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</row>
    <row r="5599" spans="6:28"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</row>
    <row r="5600" spans="6:28"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</row>
    <row r="5601" spans="6:28"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</row>
    <row r="5602" spans="6:28"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</row>
    <row r="5603" spans="6:28"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</row>
    <row r="5604" spans="6:28"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</row>
    <row r="5605" spans="6:28"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</row>
    <row r="5606" spans="6:28"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</row>
    <row r="5607" spans="6:28"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</row>
    <row r="5608" spans="6:28"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</row>
    <row r="5609" spans="6:28"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</row>
    <row r="5610" spans="6:28"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</row>
    <row r="5611" spans="6:28"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</row>
    <row r="5612" spans="6:28"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</row>
    <row r="5613" spans="6:28"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</row>
    <row r="5614" spans="6:28"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</row>
    <row r="5615" spans="6:28"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</row>
    <row r="5616" spans="6:28"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</row>
    <row r="5617" spans="6:28"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</row>
    <row r="5618" spans="6:28"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</row>
    <row r="5619" spans="6:28"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</row>
    <row r="5620" spans="6:28"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</row>
    <row r="5621" spans="6:28"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</row>
    <row r="5622" spans="6:28"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</row>
    <row r="5623" spans="6:28"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</row>
    <row r="5624" spans="6:28"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</row>
    <row r="5625" spans="6:28"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</row>
    <row r="5626" spans="6:28"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</row>
    <row r="5627" spans="6:28"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</row>
    <row r="5628" spans="6:28"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</row>
    <row r="5629" spans="6:28"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</row>
    <row r="5630" spans="6:28"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</row>
    <row r="5631" spans="6:28"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</row>
    <row r="5632" spans="6:28"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</row>
    <row r="5633" spans="6:28"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</row>
    <row r="5634" spans="6:28"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</row>
    <row r="5635" spans="6:28"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</row>
    <row r="5636" spans="6:28"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</row>
    <row r="5637" spans="6:28"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</row>
    <row r="5638" spans="6:28"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</row>
    <row r="5639" spans="6:28"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</row>
    <row r="5640" spans="6:28"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</row>
    <row r="5641" spans="6:28"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</row>
    <row r="5642" spans="6:28"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</row>
    <row r="5643" spans="6:28"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</row>
    <row r="5644" spans="6:28"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</row>
    <row r="5645" spans="6:28"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</row>
    <row r="5646" spans="6:28"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</row>
    <row r="5647" spans="6:28"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</row>
    <row r="5648" spans="6:28"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</row>
    <row r="5649" spans="6:28"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</row>
    <row r="5650" spans="6:28"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</row>
    <row r="5651" spans="6:28"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</row>
    <row r="5652" spans="6:28"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</row>
    <row r="5653" spans="6:28"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</row>
    <row r="5654" spans="6:28"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</row>
    <row r="5655" spans="6:28"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</row>
    <row r="5656" spans="6:28"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</row>
    <row r="5657" spans="6:28"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</row>
    <row r="5658" spans="6:28"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</row>
    <row r="5659" spans="6:28"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</row>
    <row r="5660" spans="6:28"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</row>
    <row r="5661" spans="6:28"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</row>
    <row r="5662" spans="6:28"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</row>
    <row r="5663" spans="6:28"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</row>
    <row r="5664" spans="6:28"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</row>
    <row r="5665" spans="6:28"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</row>
    <row r="5666" spans="6:28"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</row>
    <row r="5667" spans="6:28"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</row>
    <row r="5668" spans="6:28"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</row>
    <row r="5669" spans="6:28"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</row>
    <row r="5670" spans="6:28"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</row>
    <row r="5671" spans="6:28"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</row>
    <row r="5672" spans="6:28"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</row>
    <row r="5673" spans="6:28"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</row>
    <row r="5674" spans="6:28"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</row>
    <row r="5675" spans="6:28"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</row>
    <row r="5676" spans="6:28"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</row>
    <row r="5677" spans="6:28"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</row>
    <row r="5678" spans="6:28"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</row>
    <row r="5679" spans="6:28"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</row>
    <row r="5680" spans="6:28"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</row>
    <row r="5681" spans="6:28"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</row>
    <row r="5682" spans="6:28"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</row>
    <row r="5683" spans="6:28"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</row>
    <row r="5684" spans="6:28"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</row>
    <row r="5685" spans="6:28"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</row>
    <row r="5686" spans="6:28"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</row>
    <row r="5687" spans="6:28"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</row>
    <row r="5688" spans="6:28"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</row>
    <row r="5689" spans="6:28"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</row>
    <row r="5690" spans="6:28"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</row>
    <row r="5691" spans="6:28"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</row>
    <row r="5692" spans="6:28"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</row>
    <row r="5693" spans="6:28"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</row>
    <row r="5694" spans="6:28"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</row>
    <row r="5695" spans="6:28"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</row>
    <row r="5696" spans="6:28"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</row>
    <row r="5697" spans="6:28"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</row>
    <row r="5698" spans="6:28"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</row>
    <row r="5699" spans="6:28"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</row>
    <row r="5700" spans="6:28"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</row>
    <row r="5701" spans="6:28"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</row>
    <row r="5702" spans="6:28"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</row>
    <row r="5703" spans="6:28"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</row>
    <row r="5704" spans="6:28"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</row>
    <row r="5705" spans="6:28"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</row>
    <row r="5706" spans="6:28"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</row>
    <row r="5707" spans="6:28"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</row>
    <row r="5708" spans="6:28"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</row>
    <row r="5709" spans="6:28"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</row>
    <row r="5710" spans="6:28"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</row>
    <row r="5711" spans="6:28"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</row>
    <row r="5712" spans="6:28"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</row>
    <row r="5713" spans="6:28"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</row>
    <row r="5714" spans="6:28"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</row>
    <row r="5715" spans="6:28"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</row>
    <row r="5716" spans="6:28"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</row>
    <row r="5717" spans="6:28"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</row>
    <row r="5718" spans="6:28"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</row>
    <row r="5719" spans="6:28"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</row>
    <row r="5720" spans="6:28"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</row>
    <row r="5721" spans="6:28"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</row>
    <row r="5722" spans="6:28"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</row>
    <row r="5723" spans="6:28"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</row>
    <row r="5724" spans="6:28"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</row>
    <row r="5725" spans="6:28"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</row>
    <row r="5726" spans="6:28"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</row>
    <row r="5727" spans="6:28"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</row>
    <row r="5728" spans="6:28"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</row>
    <row r="5729" spans="6:28"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</row>
    <row r="5730" spans="6:28"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</row>
    <row r="5731" spans="6:28"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</row>
    <row r="5732" spans="6:28"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</row>
    <row r="5733" spans="6:28"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</row>
    <row r="5734" spans="6:28"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</row>
    <row r="5735" spans="6:28"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</row>
    <row r="5736" spans="6:28"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</row>
    <row r="5737" spans="6:28"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</row>
    <row r="5738" spans="6:28"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</row>
    <row r="5739" spans="6:28"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</row>
    <row r="5740" spans="6:28"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</row>
    <row r="5741" spans="6:28"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</row>
    <row r="5742" spans="6:28"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</row>
    <row r="5743" spans="6:28"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</row>
    <row r="5744" spans="6:28"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</row>
    <row r="5745" spans="6:28"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</row>
    <row r="5746" spans="6:28"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</row>
    <row r="5747" spans="6:28"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</row>
    <row r="5748" spans="6:28"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</row>
    <row r="5749" spans="6:28"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</row>
    <row r="5750" spans="6:28"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</row>
    <row r="5751" spans="6:28"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</row>
    <row r="5752" spans="6:28"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</row>
    <row r="5753" spans="6:28"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</row>
    <row r="5754" spans="6:28"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</row>
    <row r="5755" spans="6:28"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</row>
    <row r="5756" spans="6:28"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</row>
    <row r="5757" spans="6:28"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</row>
    <row r="5758" spans="6:28"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</row>
    <row r="5759" spans="6:28"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</row>
    <row r="5760" spans="6:28"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</row>
    <row r="5761" spans="6:28"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</row>
    <row r="5762" spans="6:28"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</row>
    <row r="5763" spans="6:28"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</row>
    <row r="5764" spans="6:28"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</row>
    <row r="5765" spans="6:28"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</row>
    <row r="5766" spans="6:28"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</row>
    <row r="5767" spans="6:28"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</row>
    <row r="5768" spans="6:28"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</row>
    <row r="5769" spans="6:28"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</row>
    <row r="5770" spans="6:28"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</row>
    <row r="5771" spans="6:28"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</row>
    <row r="5772" spans="6:28"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</row>
    <row r="5773" spans="6:28"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</row>
    <row r="5774" spans="6:28"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</row>
    <row r="5775" spans="6:28"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</row>
    <row r="5776" spans="6:28"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</row>
    <row r="5777" spans="6:28"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</row>
    <row r="5778" spans="6:28"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</row>
    <row r="5779" spans="6:28"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</row>
    <row r="5780" spans="6:28"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</row>
    <row r="5781" spans="6:28"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</row>
    <row r="5782" spans="6:28"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</row>
    <row r="5783" spans="6:28"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</row>
    <row r="5784" spans="6:28"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</row>
    <row r="5785" spans="6:28"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</row>
    <row r="5786" spans="6:28"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</row>
    <row r="5787" spans="6:28"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</row>
    <row r="5788" spans="6:28"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</row>
    <row r="5789" spans="6:28"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</row>
    <row r="5790" spans="6:28"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</row>
    <row r="5791" spans="6:28"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</row>
    <row r="5792" spans="6:28"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</row>
    <row r="5793" spans="6:28"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</row>
    <row r="5794" spans="6:28"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</row>
    <row r="5795" spans="6:28"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</row>
    <row r="5796" spans="6:28"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</row>
    <row r="5797" spans="6:28"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</row>
    <row r="5798" spans="6:28"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</row>
    <row r="5799" spans="6:28"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</row>
    <row r="5800" spans="6:28"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</row>
    <row r="5801" spans="6:28"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</row>
    <row r="5802" spans="6:28"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</row>
    <row r="5803" spans="6:28"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</row>
    <row r="5804" spans="6:28"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</row>
    <row r="5805" spans="6:28"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</row>
    <row r="5806" spans="6:28"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</row>
    <row r="5807" spans="6:28"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</row>
    <row r="5808" spans="6:28"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</row>
    <row r="5809" spans="6:28"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</row>
    <row r="5810" spans="6:28"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</row>
    <row r="5811" spans="6:28"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</row>
    <row r="5812" spans="6:28"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</row>
    <row r="5813" spans="6:28"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</row>
    <row r="5814" spans="6:28"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</row>
    <row r="5815" spans="6:28"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</row>
    <row r="5816" spans="6:28"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</row>
    <row r="5817" spans="6:28"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</row>
    <row r="5818" spans="6:28"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</row>
    <row r="5819" spans="6:28"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</row>
    <row r="5820" spans="6:28"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</row>
    <row r="5821" spans="6:28"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</row>
    <row r="5822" spans="6:28"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</row>
    <row r="5823" spans="6:28"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</row>
    <row r="5824" spans="6:28"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</row>
    <row r="5825" spans="6:28"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</row>
    <row r="5826" spans="6:28"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</row>
    <row r="5827" spans="6:28"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</row>
    <row r="5828" spans="6:28"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</row>
    <row r="5829" spans="6:28"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</row>
    <row r="5830" spans="6:28"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</row>
    <row r="5831" spans="6:28"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</row>
    <row r="5832" spans="6:28"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</row>
    <row r="5833" spans="6:28"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</row>
    <row r="5834" spans="6:28"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</row>
    <row r="5835" spans="6:28"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</row>
    <row r="5836" spans="6:28"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</row>
    <row r="5837" spans="6:28"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</row>
    <row r="5838" spans="6:28"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</row>
    <row r="5839" spans="6:28"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</row>
    <row r="5840" spans="6:28"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</row>
    <row r="5841" spans="6:28"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</row>
    <row r="5842" spans="6:28"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</row>
    <row r="5843" spans="6:28"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</row>
    <row r="5844" spans="6:28"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</row>
    <row r="5845" spans="6:28"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</row>
    <row r="5846" spans="6:28"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</row>
    <row r="5847" spans="6:28"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</row>
    <row r="5848" spans="6:28"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</row>
    <row r="5849" spans="6:28"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</row>
    <row r="5850" spans="6:28"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</row>
    <row r="5851" spans="6:28"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</row>
    <row r="5852" spans="6:28"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</row>
    <row r="5853" spans="6:28"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</row>
    <row r="5854" spans="6:28"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</row>
    <row r="5855" spans="6:28"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</row>
    <row r="5856" spans="6:28"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</row>
    <row r="5857" spans="6:28"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</row>
    <row r="5858" spans="6:28"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</row>
    <row r="5859" spans="6:28"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</row>
    <row r="5860" spans="6:28"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</row>
    <row r="5861" spans="6:28"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</row>
    <row r="5862" spans="6:28"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</row>
    <row r="5863" spans="6:28"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</row>
    <row r="5864" spans="6:28"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</row>
    <row r="5865" spans="6:28"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</row>
    <row r="5866" spans="6:28"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</row>
    <row r="5867" spans="6:28"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</row>
    <row r="5868" spans="6:28"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</row>
    <row r="5869" spans="6:28"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</row>
    <row r="5870" spans="6:28"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</row>
    <row r="5871" spans="6:28"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</row>
    <row r="5872" spans="6:28"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</row>
    <row r="5873" spans="6:28"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</row>
    <row r="5874" spans="6:28"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</row>
    <row r="5875" spans="6:28"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</row>
    <row r="5876" spans="6:28"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</row>
    <row r="5877" spans="6:28"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</row>
    <row r="5878" spans="6:28"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</row>
    <row r="5879" spans="6:28"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</row>
    <row r="5880" spans="6:28"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</row>
    <row r="5881" spans="6:28"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</row>
    <row r="5882" spans="6:28"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</row>
    <row r="5883" spans="6:28"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</row>
    <row r="5884" spans="6:28"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</row>
    <row r="5885" spans="6:28"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</row>
    <row r="5886" spans="6:28"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</row>
    <row r="5887" spans="6:28"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Import</vt:lpstr>
      <vt:lpstr>Purposes</vt:lpstr>
      <vt:lpstr>Parameters</vt:lpstr>
      <vt:lpstr>__MunexImport_1</vt:lpstr>
      <vt:lpstr>__MunexImport_2</vt:lpstr>
      <vt:lpstr>__MunexImport_3</vt:lpstr>
      <vt:lpstr>__MunexImport_4</vt:lpstr>
      <vt:lpstr>__MunexImport_5</vt:lpstr>
      <vt:lpstr>__MunexImport_6</vt:lpstr>
      <vt:lpstr>__MunexImport_7</vt:lpstr>
      <vt:lpstr>__MunexImport_8</vt:lpstr>
      <vt:lpstr>__MunexImport_9</vt:lpstr>
      <vt:lpstr>__MunexImport_10</vt:lpstr>
      <vt:lpstr>__MunexImport_11</vt:lpstr>
      <vt:lpstr>Issues</vt:lpstr>
      <vt:lpstr>adoDatabase</vt:lpstr>
      <vt:lpstr>adoServer</vt:lpstr>
      <vt:lpstr>connectionTest</vt:lpstr>
      <vt:lpstr>inputIssueID</vt:lpstr>
      <vt:lpstr>IssueAmount</vt:lpstr>
      <vt:lpstr>IssueData</vt:lpstr>
      <vt:lpstr>IssueID</vt:lpstr>
      <vt:lpstr>IssueName</vt:lpstr>
      <vt:lpstr>Issuer</vt:lpstr>
      <vt:lpstr>MunexFileName</vt:lpstr>
      <vt:lpstr>__MunexImport_11!Print_Area</vt:lpstr>
      <vt:lpstr>ProductionDatabase</vt:lpstr>
      <vt:lpstr>ProductionServer</vt:lpstr>
      <vt:lpstr>SaleDate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dcterms:created xsi:type="dcterms:W3CDTF">2013-01-30T12:12:34Z</dcterms:created>
  <dcterms:modified xsi:type="dcterms:W3CDTF">2013-02-01T22:37:19Z</dcterms:modified>
</cp:coreProperties>
</file>