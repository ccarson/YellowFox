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80" yWindow="360" windowWidth="10950" windowHeight="9210" tabRatio="706" firstSheet="2" activeTab="6"/>
  </bookViews>
  <sheets>
    <sheet name="Import" sheetId="3" r:id="rId1"/>
    <sheet name="Purposes" sheetId="4" r:id="rId2"/>
    <sheet name="Parameters" sheetId="17" r:id="rId3"/>
    <sheet name="__MunexImport_2" sheetId="20" r:id="rId4"/>
    <sheet name="__MunexImport_3" sheetId="21" r:id="rId5"/>
    <sheet name="__MunexImport_4" sheetId="22" r:id="rId6"/>
    <sheet name="__MunexImport_5" sheetId="23" r:id="rId7"/>
    <sheet name="__MunexImport_6" sheetId="24" r:id="rId8"/>
    <sheet name="__MunexImport_7" sheetId="25" r:id="rId9"/>
    <sheet name="__MunexImport_8" sheetId="26" r:id="rId10"/>
    <sheet name="__MunexImport_9" sheetId="27" r:id="rId11"/>
    <sheet name="Issues" sheetId="19" r:id="rId12"/>
  </sheets>
  <functionGroups builtInGroupCount="17"/>
  <definedNames>
    <definedName name="adoDatabase">Parameters!$C$10</definedName>
    <definedName name="adoServer">Parameters!$C$9</definedName>
    <definedName name="connectionTest">Import!$B$31</definedName>
    <definedName name="inputIssueID">Import!#REF!</definedName>
    <definedName name="IssueAmount">Import!$I$18</definedName>
    <definedName name="IssueData">Import!$I$15:$I$19</definedName>
    <definedName name="IssueID">Import!$I$15</definedName>
    <definedName name="IssueName">Import!$I$17</definedName>
    <definedName name="Issuer">Import!$I$16</definedName>
    <definedName name="local__Ehlers_vw_IssuesData" localSheetId="11" hidden="1">Issues!$A$1:$E$2</definedName>
    <definedName name="MunexFile">Import!#REF!</definedName>
    <definedName name="MunexFileName">Import!$I$5</definedName>
    <definedName name="ProductionDatabase">Parameters!$C$6</definedName>
    <definedName name="ProductionServer">Parameters!$C$5</definedName>
    <definedName name="purpose1">Purposes!$I$11</definedName>
    <definedName name="purpose2">Purposes!$I$12</definedName>
    <definedName name="purpose3">Purposes!$I$13</definedName>
    <definedName name="purpose4">Purposes!$I$14</definedName>
    <definedName name="purpose5">Purposes!$I$15</definedName>
    <definedName name="purpose6">Purposes!$I$16</definedName>
    <definedName name="purpose7">Purposes!$I$17</definedName>
    <definedName name="purpose8">Purposes!$I$18</definedName>
    <definedName name="purpose9">Purposes!$I$19</definedName>
    <definedName name="Purposes">Purposes!$I$11:$P$19</definedName>
    <definedName name="SaleDate">Import!$I$19</definedName>
  </definedNames>
  <calcPr calcId="145621"/>
</workbook>
</file>

<file path=xl/calcChain.xml><?xml version="1.0" encoding="utf-8"?>
<calcChain xmlns="http://schemas.openxmlformats.org/spreadsheetml/2006/main">
  <c r="G10" i="4" l="1"/>
  <c r="B2" i="4"/>
  <c r="B3" i="4"/>
  <c r="B4" i="4"/>
  <c r="E4" i="4"/>
</calcChain>
</file>

<file path=xl/connections.xml><?xml version="1.0" encoding="utf-8"?>
<connections xmlns="http://schemas.openxmlformats.org/spreadsheetml/2006/main">
  <connection id="1" keepAlive="1" name="(local) Ehlers vw_IssuesData" type="5" refreshedVersion="4" background="1" saveData="1">
    <dbPr connection="Provider=SQLOLEDB.1;Integrated Security=SSPI;Persist Security Info=True;Initial Catalog=Ehlers;Data Source=(local);Use Procedure for Prepare=1;Auto Translate=True;Packet Size=4096;Workstation ID=CA-UNUA;Use Encryption for Data=False;Tag with column collation when possible=False" command="SELECT * FROM Import.vw_IssuesData WHERE IssueID = 36587"/>
  </connection>
</connections>
</file>

<file path=xl/sharedStrings.xml><?xml version="1.0" encoding="utf-8"?>
<sst xmlns="http://schemas.openxmlformats.org/spreadsheetml/2006/main" count="324" uniqueCount="152">
  <si>
    <t>Ehlers</t>
  </si>
  <si>
    <t>Workbook Parameters</t>
  </si>
  <si>
    <t>ProductionServer</t>
  </si>
  <si>
    <t>ProductionDatabase</t>
  </si>
  <si>
    <t>VariableName</t>
  </si>
  <si>
    <t>Value</t>
  </si>
  <si>
    <t>EHLERS-SS3</t>
  </si>
  <si>
    <t>adoServer</t>
  </si>
  <si>
    <t>adoDatabase</t>
  </si>
  <si>
    <t>Step 1</t>
  </si>
  <si>
    <t>Step 2</t>
  </si>
  <si>
    <t>Step 3</t>
  </si>
  <si>
    <t>Step 4</t>
  </si>
  <si>
    <t>Step 5</t>
  </si>
  <si>
    <t>Step 6</t>
  </si>
  <si>
    <t>Review exported data in Ehlers system</t>
  </si>
  <si>
    <t>Test SQL Server Connection</t>
  </si>
  <si>
    <t>IssueID</t>
  </si>
  <si>
    <t>IssueName</t>
  </si>
  <si>
    <t>Amount</t>
  </si>
  <si>
    <t>SaleDate</t>
  </si>
  <si>
    <t>Select the Munex file containing the issue you want to import into Ehlers system</t>
  </si>
  <si>
    <t>Sale Date :</t>
  </si>
  <si>
    <t>Issuer :</t>
  </si>
  <si>
    <t>Name :</t>
  </si>
  <si>
    <t>Amount :</t>
  </si>
  <si>
    <t xml:space="preserve">Does the Ehlers data match the data you imported from Munex? </t>
  </si>
  <si>
    <t>Munex File :</t>
  </si>
  <si>
    <t>Issue ID :</t>
  </si>
  <si>
    <t>Enter the Ehlers IssueID and select issue data from Ehlers system</t>
  </si>
  <si>
    <t>IssuerName</t>
  </si>
  <si>
    <t>Confirm each purpose name for the issue.  Make any desired changes in purpose names</t>
  </si>
  <si>
    <t xml:space="preserve">1) </t>
  </si>
  <si>
    <t xml:space="preserve">2) </t>
  </si>
  <si>
    <t xml:space="preserve">3) </t>
  </si>
  <si>
    <t xml:space="preserve">4) </t>
  </si>
  <si>
    <t xml:space="preserve">5) </t>
  </si>
  <si>
    <t xml:space="preserve">6) </t>
  </si>
  <si>
    <t xml:space="preserve">7) </t>
  </si>
  <si>
    <t xml:space="preserve">8) </t>
  </si>
  <si>
    <t xml:space="preserve">9) </t>
  </si>
  <si>
    <t>Mendota Heights</t>
  </si>
  <si>
    <t>Munex Spreadsheet Import into Ehlers Data Management System</t>
  </si>
  <si>
    <t>Load data from the Munex spreadsheet into the Ehlers system</t>
  </si>
  <si>
    <t>General Obligation Improvement Bonds, Series 2010A</t>
  </si>
  <si>
    <t>2010-09-07</t>
  </si>
  <si>
    <t xml:space="preserve"> </t>
  </si>
  <si>
    <t xml:space="preserve">Mendota Heights, Minnesota </t>
  </si>
  <si>
    <t xml:space="preserve">$1,055,000 G.O. Improvement Bonds, Series 2010 </t>
  </si>
  <si>
    <t/>
  </si>
  <si>
    <t xml:space="preserve">FINAL </t>
  </si>
  <si>
    <t xml:space="preserve">Sources &amp; Uses </t>
  </si>
  <si>
    <t xml:space="preserve"> Dated 09/29/2010 |  Delivered 09/29/2010</t>
  </si>
  <si>
    <t xml:space="preserve">Sources Of Funds </t>
  </si>
  <si>
    <t>Par Amount of Bonds</t>
  </si>
  <si>
    <t>Prepaid Special Assessments</t>
  </si>
  <si>
    <t>Storm Water &amp; Sewer Utilities</t>
  </si>
  <si>
    <t xml:space="preserve">Total Sources </t>
  </si>
  <si>
    <t xml:space="preserve">Uses Of Funds </t>
  </si>
  <si>
    <t>Total Underwriter's Discount  (0.950%)</t>
  </si>
  <si>
    <t>Costs of Issuance</t>
  </si>
  <si>
    <t>Deposit to Project Construction Fund</t>
  </si>
  <si>
    <t xml:space="preserve">Total Uses </t>
  </si>
  <si>
    <t>Ser 2010 $1.055M Imrpvemn  |  SINGLE PURPOSE  |  9/ 7/2010  |  11:28 AM</t>
  </si>
  <si>
    <t>Leaders in Public Finance</t>
  </si>
  <si>
    <t>Page 1</t>
  </si>
  <si>
    <t xml:space="preserve">Debt Service Schedule </t>
  </si>
  <si>
    <t>Date</t>
  </si>
  <si>
    <t>Principal</t>
  </si>
  <si>
    <t>Coupon</t>
  </si>
  <si>
    <t>Interest</t>
  </si>
  <si>
    <t>Total P+I</t>
  </si>
  <si>
    <t>Fiscal Total</t>
  </si>
  <si>
    <t xml:space="preserve">Yield Statistics </t>
  </si>
  <si>
    <t>Bond Year Dollars</t>
  </si>
  <si>
    <t>Average Life</t>
  </si>
  <si>
    <t>Average Coupon</t>
  </si>
  <si>
    <t>Net Interest Cost (NIC)</t>
  </si>
  <si>
    <t>True Interest Cost (TIC)</t>
  </si>
  <si>
    <t>Bond Yield for Arbitrage Purposes</t>
  </si>
  <si>
    <t>All Inclusive Cost (AIC)</t>
  </si>
  <si>
    <t xml:space="preserve">IRS Form 8038 </t>
  </si>
  <si>
    <t>Net Interest Cost</t>
  </si>
  <si>
    <t>Weighted Average Maturity</t>
  </si>
  <si>
    <t>Page 2</t>
  </si>
  <si>
    <t xml:space="preserve">Net Debt Service Schedule </t>
  </si>
  <si>
    <t>Net New D/S</t>
  </si>
  <si>
    <t>Page 3</t>
  </si>
  <si>
    <t xml:space="preserve">Pricing Summary </t>
  </si>
  <si>
    <t>Maturity</t>
  </si>
  <si>
    <t>Type of Bond</t>
  </si>
  <si>
    <t>Yield</t>
  </si>
  <si>
    <t>Maturity Value</t>
  </si>
  <si>
    <t>Price</t>
  </si>
  <si>
    <t>Dollar Price</t>
  </si>
  <si>
    <t>Term 1 Coupon</t>
  </si>
  <si>
    <t>Term 2 Coupon</t>
  </si>
  <si>
    <t>Term 3 Coupon</t>
  </si>
  <si>
    <t>Term 4 Coupon</t>
  </si>
  <si>
    <t>Term 5 Coupon</t>
  </si>
  <si>
    <t>Term 6 Coupon</t>
  </si>
  <si>
    <t>Term 7 Coupon</t>
  </si>
  <si>
    <t>Term 8 Coupon</t>
  </si>
  <si>
    <t>Term 9 Coupon</t>
  </si>
  <si>
    <t xml:space="preserve">Bid Information </t>
  </si>
  <si>
    <t xml:space="preserve">Gross Production </t>
  </si>
  <si>
    <t>Bid (99.050%)</t>
  </si>
  <si>
    <t xml:space="preserve">Total Purchase Price </t>
  </si>
  <si>
    <t>Page 4</t>
  </si>
  <si>
    <t xml:space="preserve">Proof Of Bond Yield @ 2.8978800% </t>
  </si>
  <si>
    <t>Cashflow</t>
  </si>
  <si>
    <t>PV Factor</t>
  </si>
  <si>
    <t>Present Value</t>
  </si>
  <si>
    <t>Cumulative PV</t>
  </si>
  <si>
    <t xml:space="preserve">Derivation Of Target Amount </t>
  </si>
  <si>
    <t xml:space="preserve">Original Issue Proceeds </t>
  </si>
  <si>
    <t>Page 5</t>
  </si>
  <si>
    <t xml:space="preserve">Derivation Of Form 8038 Yield Statistics </t>
  </si>
  <si>
    <t>Issuance Value</t>
  </si>
  <si>
    <t>Issuance PRICE</t>
  </si>
  <si>
    <t>Exponent</t>
  </si>
  <si>
    <t>Bond Years</t>
  </si>
  <si>
    <t xml:space="preserve">Weighted Average Maturity = Bond Years/Issue Price </t>
  </si>
  <si>
    <t>Total Interest from Debt Service</t>
  </si>
  <si>
    <t>Total Interest</t>
  </si>
  <si>
    <t>NIC = Interest / (Issue Price * Average Maturity)</t>
  </si>
  <si>
    <t>Page 6</t>
  </si>
  <si>
    <t xml:space="preserve">Operation Of Project Construction Fund </t>
  </si>
  <si>
    <t>Rate</t>
  </si>
  <si>
    <t>Receipts</t>
  </si>
  <si>
    <t>Disbursements</t>
  </si>
  <si>
    <t>Cash Balance</t>
  </si>
  <si>
    <t xml:space="preserve">Investment Parameters </t>
  </si>
  <si>
    <t>Investment Model [PV, GIC, or Securities]</t>
  </si>
  <si>
    <t>Default investment yield target</t>
  </si>
  <si>
    <t>Cost of Investments Purchased with Bond Proceeds</t>
  </si>
  <si>
    <t>Total Cost of Investments</t>
  </si>
  <si>
    <t>Target Cost of Investments at bond yield</t>
  </si>
  <si>
    <t>Yield to Receipt</t>
  </si>
  <si>
    <t>Yield for Arbitrage Purposes</t>
  </si>
  <si>
    <t>Page 7</t>
  </si>
  <si>
    <t xml:space="preserve">Detail Costs Of Issuance </t>
  </si>
  <si>
    <t xml:space="preserve">COSTS OF ISSUANCE DETAIL </t>
  </si>
  <si>
    <t>Financial Advisor</t>
  </si>
  <si>
    <t>Bond Counsel</t>
  </si>
  <si>
    <t>Paying Agent</t>
  </si>
  <si>
    <t>County Auditor Fee</t>
  </si>
  <si>
    <t>Rating Agency Fee</t>
  </si>
  <si>
    <t xml:space="preserve">TOTAL </t>
  </si>
  <si>
    <t>Page 8</t>
  </si>
  <si>
    <t>C:\Users\Chris Carson\Desktop\BISUM\FINAL (3).XLS</t>
  </si>
  <si>
    <t>(local)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</si>
</sst>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&quot; &quot;\ \ \ \ \ \ \ \ \ \ \ \ \ \ \ \ \ \ \ \ \ \ \ \ \ \ \ \ \ \ \ \ \ \ \ \ \ \ \ \ \ \ \ \ \ \ \ \ \ \ \ \ \ \ \ \ \ "/>
    <numFmt numFmtId="167" formatCode="&quot;$&quot;###,###,###,##0.00;&quot;$(&quot;###,###,###,##0.00&quot;)&quot;;&quot;-&quot;;\ \ \ \ \ \ \ \ "/>
    <numFmt numFmtId="168" formatCode="###,###,###,##0.00;&quot;(&quot;###,###,###,##0.00&quot;)&quot;;&quot;-&quot;;\ \ \ \ \ \ \ \ \ \ \ \ "/>
    <numFmt numFmtId="169" formatCode="mm/dd/yyyy"/>
    <numFmt numFmtId="170" formatCode="###,###,###,##0.00;\(###,###,###,##0.00\);&quot;-&quot;;\ "/>
    <numFmt numFmtId="171" formatCode="####0.000&quot;%&quot;;\-####0.000&quot;%&quot;;&quot;-&quot;;\ \ \ \ \ \ \ \ \ \ \ \ \ \ "/>
    <numFmt numFmtId="172" formatCode="#0&quot;/&quot;00&quot;/&quot;0000;;&quot;Total&quot;;\ \ \ \ \ \ \ \ \ \ \ \ \ \ \ \ \ \ \ \ \ "/>
    <numFmt numFmtId="173" formatCode="&quot;$&quot;###,###,###,##0.00;\(###,###,###,##0.00\);&quot;-&quot;;\ "/>
    <numFmt numFmtId="174" formatCode="&quot;-&quot;"/>
    <numFmt numFmtId="175" formatCode="#,###,###,###,##0.000&quot; Years&quot;;;&quot;-&quot;;\ \ \ \ \ \ \ \ \ \ \ \ \ \ \ \ \ \ \ \ \ \ \ \ \ "/>
    <numFmt numFmtId="176" formatCode="#########0.0000000&quot;%&quot;;\-#########0.0000000&quot;%&quot;;&quot;-&quot;;\ \ \ \ \ \ \ \ \ \ \ "/>
    <numFmt numFmtId="177" formatCode=";;"/>
    <numFmt numFmtId="178" formatCode="####0.0000000&quot;x&quot;;\-####0.0000000;&quot;-&quot;;\ \ \ \ \ \ \ \ \ "/>
    <numFmt numFmtId="179" formatCode="#####0.0000000&quot;%&quot;;\-#####0.0000000&quot;%&quot;;&quot;-&quot;;\ \ \ \ "/>
    <numFmt numFmtId="180" formatCode="&quot;GIC&quot;;&quot;Securities&quot;;&quot;PV Discount&quot;;\ \ \ \ \ \ \ \ \ \ \ \ \ \ \ \ \ \ \ \ \ \ \ \ \ \ \ "/>
    <numFmt numFmtId="181" formatCode="&quot;Bond Yield&quot;;&quot;Unrestricted&quot;;&quot;AIC&quot;;\ \ \ \ \ \ \ \ \ \ \ \ \ \ \ \ \ \ \ \ \ \ \ \ \ \ "/>
    <numFmt numFmtId="182" formatCode="&quot;$&quot;###,###,###,##0.00;&quot;$&quot;##0.00&quot;/1000&quot;;&quot;-&quot;;\ \ \ \ \ \ \ \ \ \ \ \ \ \ \ \ \ 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u/>
      <sz val="6"/>
      <color theme="3" tint="-0.499984740745262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  <font>
      <sz val="8"/>
      <name val="Microsoft Sans Serif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sz val="16"/>
      <color indexed="18"/>
      <name val="Times New Roman"/>
      <family val="1"/>
    </font>
    <font>
      <b/>
      <sz val="8"/>
      <name val="Arial"/>
      <family val="2"/>
    </font>
    <font>
      <b/>
      <sz val="9"/>
      <color indexed="1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6"/>
      <name val="Microsoft Sans Serif"/>
      <family val="2"/>
    </font>
    <font>
      <sz val="14"/>
      <color indexed="9"/>
      <name val="Microsoft Sans Serif"/>
      <family val="2"/>
    </font>
    <font>
      <sz val="10"/>
      <color indexed="9"/>
      <name val="Microsoft Sans Serif"/>
      <family val="2"/>
    </font>
    <font>
      <b/>
      <sz val="8"/>
      <color indexed="9"/>
      <name val="Microsoft Sans Serif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18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6" fillId="0" borderId="0"/>
    <xf numFmtId="44" fontId="7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14" fontId="0" fillId="3" borderId="0" xfId="0" applyNumberFormat="1" applyFill="1" applyAlignment="1">
      <alignment horizontal="left" indent="1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165" fontId="4" fillId="2" borderId="0" xfId="8" applyNumberFormat="1" applyFont="1" applyFill="1" applyAlignment="1">
      <alignment horizontal="left" vertical="center"/>
    </xf>
    <xf numFmtId="14" fontId="4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4" borderId="0" xfId="0" applyFill="1"/>
    <xf numFmtId="0" fontId="0" fillId="5" borderId="0" xfId="0" applyFill="1" applyAlignment="1">
      <alignment vertical="center"/>
    </xf>
    <xf numFmtId="0" fontId="9" fillId="6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0" fillId="7" borderId="0" xfId="0" applyFont="1" applyFill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164" fontId="0" fillId="6" borderId="0" xfId="0" applyNumberFormat="1" applyFill="1" applyAlignment="1">
      <alignment horizontal="left" vertical="center" indent="1"/>
    </xf>
    <xf numFmtId="14" fontId="0" fillId="6" borderId="0" xfId="0" applyNumberFormat="1" applyFill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0" fillId="3" borderId="0" xfId="0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2" fillId="5" borderId="0" xfId="0" applyFont="1" applyFill="1" applyAlignment="1">
      <alignment horizontal="right"/>
    </xf>
    <xf numFmtId="0" fontId="9" fillId="5" borderId="0" xfId="0" applyFont="1" applyFill="1" applyAlignment="1">
      <alignment horizontal="left" vertical="center" indent="1"/>
    </xf>
    <xf numFmtId="0" fontId="11" fillId="3" borderId="0" xfId="0" applyFont="1" applyFill="1" applyAlignment="1">
      <alignment horizontal="left" vertical="center" indent="2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top" wrapText="1"/>
    </xf>
    <xf numFmtId="0" fontId="0" fillId="2" borderId="0" xfId="0" applyFill="1" applyAlignment="1">
      <alignment horizontal="left" vertical="center"/>
    </xf>
    <xf numFmtId="165" fontId="4" fillId="2" borderId="0" xfId="8" applyNumberFormat="1" applyFont="1" applyFill="1" applyAlignment="1">
      <alignment horizontal="left" vertical="center" indent="3"/>
    </xf>
    <xf numFmtId="14" fontId="4" fillId="2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/>
    </xf>
    <xf numFmtId="0" fontId="1" fillId="0" borderId="0" xfId="1"/>
    <xf numFmtId="0" fontId="13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/>
    </xf>
    <xf numFmtId="0" fontId="15" fillId="0" borderId="0" xfId="1" applyFont="1" applyFill="1" applyBorder="1" applyAlignment="1">
      <alignment horizontal="left"/>
    </xf>
    <xf numFmtId="0" fontId="16" fillId="0" borderId="0" xfId="1" applyFont="1" applyFill="1" applyBorder="1" applyAlignment="1">
      <alignment horizontal="left"/>
    </xf>
    <xf numFmtId="0" fontId="17" fillId="0" borderId="0" xfId="1" applyFont="1" applyFill="1" applyBorder="1" applyAlignment="1">
      <alignment horizontal="right"/>
    </xf>
    <xf numFmtId="0" fontId="17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49" fontId="18" fillId="0" borderId="1" xfId="1" applyNumberFormat="1" applyFont="1" applyFill="1" applyBorder="1" applyAlignment="1">
      <alignment horizontal="left"/>
    </xf>
    <xf numFmtId="166" fontId="18" fillId="0" borderId="1" xfId="1" applyNumberFormat="1" applyFont="1" applyFill="1" applyBorder="1" applyAlignment="1">
      <alignment horizontal="left"/>
    </xf>
    <xf numFmtId="49" fontId="19" fillId="0" borderId="0" xfId="1" applyNumberFormat="1" applyFont="1" applyFill="1" applyBorder="1" applyAlignment="1"/>
    <xf numFmtId="167" fontId="19" fillId="0" borderId="0" xfId="1" applyNumberFormat="1" applyFont="1" applyFill="1" applyBorder="1" applyAlignment="1"/>
    <xf numFmtId="168" fontId="19" fillId="0" borderId="0" xfId="1" applyNumberFormat="1" applyFont="1" applyFill="1" applyBorder="1" applyAlignment="1"/>
    <xf numFmtId="49" fontId="1" fillId="0" borderId="0" xfId="1" applyNumberFormat="1" applyBorder="1"/>
    <xf numFmtId="166" fontId="19" fillId="0" borderId="0" xfId="1" applyNumberFormat="1" applyFont="1" applyFill="1" applyBorder="1" applyAlignment="1"/>
    <xf numFmtId="49" fontId="20" fillId="0" borderId="0" xfId="1" applyNumberFormat="1" applyFont="1" applyFill="1" applyBorder="1" applyAlignment="1"/>
    <xf numFmtId="167" fontId="20" fillId="0" borderId="0" xfId="1" applyNumberFormat="1" applyFont="1" applyFill="1" applyBorder="1" applyAlignment="1"/>
    <xf numFmtId="166" fontId="19" fillId="0" borderId="1" xfId="1" applyNumberFormat="1" applyFont="1" applyFill="1" applyBorder="1" applyAlignment="1"/>
    <xf numFmtId="49" fontId="21" fillId="0" borderId="0" xfId="1" applyNumberFormat="1" applyFont="1" applyFill="1" applyBorder="1" applyAlignment="1">
      <alignment horizontal="left" vertical="top"/>
    </xf>
    <xf numFmtId="49" fontId="22" fillId="8" borderId="0" xfId="1" applyNumberFormat="1" applyFont="1" applyFill="1" applyBorder="1" applyAlignment="1"/>
    <xf numFmtId="0" fontId="22" fillId="8" borderId="0" xfId="1" applyFont="1" applyFill="1" applyBorder="1" applyAlignment="1"/>
    <xf numFmtId="0" fontId="23" fillId="8" borderId="0" xfId="1" applyFont="1" applyFill="1" applyBorder="1" applyAlignment="1">
      <alignment horizontal="left"/>
    </xf>
    <xf numFmtId="0" fontId="24" fillId="8" borderId="0" xfId="1" applyFont="1" applyFill="1" applyBorder="1" applyAlignment="1">
      <alignment horizontal="right"/>
    </xf>
    <xf numFmtId="0" fontId="15" fillId="0" borderId="0" xfId="1" applyFont="1" applyFill="1" applyAlignment="1">
      <alignment horizontal="left"/>
    </xf>
    <xf numFmtId="0" fontId="18" fillId="0" borderId="0" xfId="1" applyFont="1" applyFill="1" applyBorder="1" applyAlignment="1">
      <alignment horizontal="right" wrapText="1"/>
    </xf>
    <xf numFmtId="0" fontId="18" fillId="0" borderId="1" xfId="1" applyFont="1" applyFill="1" applyBorder="1" applyAlignment="1">
      <alignment horizontal="right" wrapText="1"/>
    </xf>
    <xf numFmtId="0" fontId="19" fillId="0" borderId="0" xfId="1" applyFont="1" applyFill="1" applyBorder="1" applyAlignment="1"/>
    <xf numFmtId="0" fontId="19" fillId="0" borderId="0" xfId="1" applyFont="1" applyFill="1" applyAlignment="1"/>
    <xf numFmtId="169" fontId="19" fillId="0" borderId="0" xfId="1" applyNumberFormat="1" applyFont="1" applyFill="1" applyBorder="1" applyAlignment="1"/>
    <xf numFmtId="169" fontId="19" fillId="0" borderId="0" xfId="1" applyNumberFormat="1" applyFont="1" applyFill="1" applyAlignment="1"/>
    <xf numFmtId="170" fontId="19" fillId="0" borderId="0" xfId="1" applyNumberFormat="1" applyFont="1" applyFill="1" applyAlignment="1"/>
    <xf numFmtId="171" fontId="19" fillId="0" borderId="0" xfId="1" applyNumberFormat="1" applyFont="1" applyFill="1" applyAlignment="1"/>
    <xf numFmtId="170" fontId="19" fillId="0" borderId="0" xfId="1" applyNumberFormat="1" applyFont="1" applyFill="1" applyBorder="1" applyAlignment="1"/>
    <xf numFmtId="171" fontId="19" fillId="0" borderId="0" xfId="1" applyNumberFormat="1" applyFont="1" applyFill="1" applyBorder="1" applyAlignment="1"/>
    <xf numFmtId="172" fontId="20" fillId="0" borderId="2" xfId="1" applyNumberFormat="1" applyFont="1" applyFill="1" applyBorder="1" applyAlignment="1">
      <alignment horizontal="right" vertical="center"/>
    </xf>
    <xf numFmtId="173" fontId="20" fillId="0" borderId="2" xfId="1" applyNumberFormat="1" applyFont="1" applyFill="1" applyBorder="1" applyAlignment="1">
      <alignment horizontal="right" vertical="center"/>
    </xf>
    <xf numFmtId="174" fontId="20" fillId="0" borderId="2" xfId="1" applyNumberFormat="1" applyFont="1" applyFill="1" applyBorder="1" applyAlignment="1">
      <alignment horizontal="right" vertical="center"/>
    </xf>
    <xf numFmtId="0" fontId="18" fillId="0" borderId="1" xfId="1" applyFont="1" applyFill="1" applyBorder="1" applyAlignment="1">
      <alignment horizontal="left"/>
    </xf>
    <xf numFmtId="49" fontId="1" fillId="0" borderId="0" xfId="1" applyNumberFormat="1"/>
    <xf numFmtId="166" fontId="1" fillId="0" borderId="0" xfId="1" applyNumberFormat="1" applyAlignment="1">
      <alignment horizontal="right"/>
    </xf>
    <xf numFmtId="175" fontId="19" fillId="0" borderId="0" xfId="1" applyNumberFormat="1" applyFont="1" applyFill="1" applyBorder="1" applyAlignment="1"/>
    <xf numFmtId="176" fontId="19" fillId="0" borderId="0" xfId="1" applyNumberFormat="1" applyFont="1" applyFill="1" applyBorder="1" applyAlignment="1"/>
    <xf numFmtId="177" fontId="1" fillId="0" borderId="0" xfId="1" applyNumberFormat="1"/>
    <xf numFmtId="177" fontId="18" fillId="0" borderId="0" xfId="1" applyNumberFormat="1" applyFont="1" applyFill="1" applyBorder="1" applyAlignment="1">
      <alignment horizontal="right" wrapText="1"/>
    </xf>
    <xf numFmtId="177" fontId="18" fillId="0" borderId="1" xfId="1" applyNumberFormat="1" applyFont="1" applyFill="1" applyBorder="1" applyAlignment="1">
      <alignment horizontal="right" wrapText="1"/>
    </xf>
    <xf numFmtId="177" fontId="19" fillId="0" borderId="0" xfId="1" applyNumberFormat="1" applyFont="1" applyFill="1" applyBorder="1" applyAlignment="1"/>
    <xf numFmtId="177" fontId="19" fillId="0" borderId="0" xfId="1" applyNumberFormat="1" applyFont="1" applyFill="1" applyAlignment="1"/>
    <xf numFmtId="178" fontId="19" fillId="0" borderId="0" xfId="1" applyNumberFormat="1" applyFont="1" applyFill="1" applyAlignment="1"/>
    <xf numFmtId="178" fontId="19" fillId="0" borderId="0" xfId="1" applyNumberFormat="1" applyFont="1" applyFill="1" applyBorder="1" applyAlignment="1"/>
    <xf numFmtId="179" fontId="19" fillId="0" borderId="0" xfId="1" applyNumberFormat="1" applyFont="1" applyFill="1" applyAlignment="1"/>
    <xf numFmtId="180" fontId="19" fillId="0" borderId="0" xfId="1" applyNumberFormat="1" applyFont="1" applyFill="1" applyBorder="1" applyAlignment="1"/>
    <xf numFmtId="181" fontId="19" fillId="0" borderId="0" xfId="1" applyNumberFormat="1" applyFont="1" applyFill="1" applyBorder="1" applyAlignment="1"/>
    <xf numFmtId="182" fontId="19" fillId="0" borderId="0" xfId="1" applyNumberFormat="1" applyFont="1" applyFill="1" applyBorder="1" applyAlignment="1"/>
    <xf numFmtId="182" fontId="20" fillId="0" borderId="0" xfId="1" applyNumberFormat="1" applyFont="1" applyFill="1" applyBorder="1" applyAlignment="1"/>
  </cellXfs>
  <cellStyles count="9">
    <cellStyle name="Comma 2" xfId="2"/>
    <cellStyle name="Comma 2 2" xfId="3"/>
    <cellStyle name="Currency" xfId="8" builtinId="4"/>
    <cellStyle name="Normal" xfId="0" builtinId="0"/>
    <cellStyle name="Normal 2" xfId="1"/>
    <cellStyle name="Normal 3" xfId="4"/>
    <cellStyle name="Normal 4" xfId="5"/>
    <cellStyle name="Normal 5" xfId="6"/>
    <cellStyle name="Normal 6" xfId="7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4</xdr:row>
          <xdr:rowOff>28575</xdr:rowOff>
        </xdr:from>
        <xdr:to>
          <xdr:col>6</xdr:col>
          <xdr:colOff>0</xdr:colOff>
          <xdr:row>5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14</xdr:row>
          <xdr:rowOff>28575</xdr:rowOff>
        </xdr:from>
        <xdr:to>
          <xdr:col>6</xdr:col>
          <xdr:colOff>9525</xdr:colOff>
          <xdr:row>15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Ehlers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25</xdr:row>
          <xdr:rowOff>76200</xdr:rowOff>
        </xdr:from>
        <xdr:to>
          <xdr:col>5</xdr:col>
          <xdr:colOff>371475</xdr:colOff>
          <xdr:row>27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25</xdr:row>
          <xdr:rowOff>76200</xdr:rowOff>
        </xdr:from>
        <xdr:to>
          <xdr:col>8</xdr:col>
          <xdr:colOff>47625</xdr:colOff>
          <xdr:row>27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9</xdr:row>
          <xdr:rowOff>66675</xdr:rowOff>
        </xdr:from>
        <xdr:to>
          <xdr:col>5</xdr:col>
          <xdr:colOff>19050</xdr:colOff>
          <xdr:row>10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24</xdr:row>
          <xdr:rowOff>285750</xdr:rowOff>
        </xdr:from>
        <xdr:to>
          <xdr:col>5</xdr:col>
          <xdr:colOff>19050</xdr:colOff>
          <xdr:row>26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Data to Ehlers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161925</xdr:colOff>
          <xdr:row>24</xdr:row>
          <xdr:rowOff>285750</xdr:rowOff>
        </xdr:from>
        <xdr:to>
          <xdr:col>15</xdr:col>
          <xdr:colOff>1609725</xdr:colOff>
          <xdr:row>26</xdr:row>
          <xdr:rowOff>76200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Ehlers System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19050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76250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19050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762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19050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762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</xdr:row>
      <xdr:rowOff>0</xdr:rowOff>
    </xdr:from>
    <xdr:to>
      <xdr:col>5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504825" y="19050"/>
          <a:ext cx="57054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19050</xdr:colOff>
      <xdr:row>1</xdr:row>
      <xdr:rowOff>0</xdr:rowOff>
    </xdr:from>
    <xdr:to>
      <xdr:col>5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504825" y="1905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5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504825" y="26670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10300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6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722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</xdr:row>
      <xdr:rowOff>0</xdr:rowOff>
    </xdr:from>
    <xdr:to>
      <xdr:col>6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10300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10300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33</xdr:row>
      <xdr:rowOff>0</xdr:rowOff>
    </xdr:from>
    <xdr:to>
      <xdr:col>2</xdr:col>
      <xdr:colOff>19050</xdr:colOff>
      <xdr:row>34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610725"/>
          <a:ext cx="4762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33</xdr:row>
      <xdr:rowOff>0</xdr:rowOff>
    </xdr:from>
    <xdr:to>
      <xdr:col>1</xdr:col>
      <xdr:colOff>0</xdr:colOff>
      <xdr:row>34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610725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33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504825" y="9610725"/>
          <a:ext cx="57054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10300" y="9610725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19050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762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722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11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10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30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2390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11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72275" y="1809750"/>
          <a:ext cx="0" cy="72390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30</xdr:row>
      <xdr:rowOff>0</xdr:rowOff>
    </xdr:from>
    <xdr:to>
      <xdr:col>2</xdr:col>
      <xdr:colOff>19050</xdr:colOff>
      <xdr:row>33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9048750"/>
          <a:ext cx="476250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30</xdr:row>
      <xdr:rowOff>0</xdr:rowOff>
    </xdr:from>
    <xdr:to>
      <xdr:col>1</xdr:col>
      <xdr:colOff>0</xdr:colOff>
      <xdr:row>33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9048750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30</xdr:row>
      <xdr:rowOff>0</xdr:rowOff>
    </xdr:from>
    <xdr:to>
      <xdr:col>2</xdr:col>
      <xdr:colOff>19050</xdr:colOff>
      <xdr:row>30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9048750"/>
          <a:ext cx="4762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10300" y="9048750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10300" y="9048750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10300" y="9048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5</xdr:row>
      <xdr:rowOff>0</xdr:rowOff>
    </xdr:from>
    <xdr:to>
      <xdr:col>3</xdr:col>
      <xdr:colOff>28575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504825" y="657225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428875" y="657225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448300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11</xdr:row>
      <xdr:rowOff>0</xdr:rowOff>
    </xdr:from>
    <xdr:to>
      <xdr:col>3</xdr:col>
      <xdr:colOff>28575</xdr:colOff>
      <xdr:row>11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04825" y="18097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428875" y="18097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9525</xdr:colOff>
      <xdr:row>11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448300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16</xdr:row>
      <xdr:rowOff>0</xdr:rowOff>
    </xdr:from>
    <xdr:to>
      <xdr:col>3</xdr:col>
      <xdr:colOff>28575</xdr:colOff>
      <xdr:row>16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04825" y="24955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16</xdr:row>
      <xdr:rowOff>0</xdr:rowOff>
    </xdr:from>
    <xdr:to>
      <xdr:col>4</xdr:col>
      <xdr:colOff>9525</xdr:colOff>
      <xdr:row>16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428875" y="24955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16</xdr:row>
      <xdr:rowOff>0</xdr:rowOff>
    </xdr:from>
    <xdr:to>
      <xdr:col>5</xdr:col>
      <xdr:colOff>9525</xdr:colOff>
      <xdr:row>16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448300" y="24955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17</xdr:row>
      <xdr:rowOff>0</xdr:rowOff>
    </xdr:from>
    <xdr:to>
      <xdr:col>3</xdr:col>
      <xdr:colOff>28575</xdr:colOff>
      <xdr:row>17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04825" y="262890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17</xdr:row>
      <xdr:rowOff>0</xdr:rowOff>
    </xdr:from>
    <xdr:to>
      <xdr:col>4</xdr:col>
      <xdr:colOff>9525</xdr:colOff>
      <xdr:row>17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2428875" y="262890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448300" y="262890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18</xdr:row>
      <xdr:rowOff>0</xdr:rowOff>
    </xdr:from>
    <xdr:to>
      <xdr:col>3</xdr:col>
      <xdr:colOff>28575</xdr:colOff>
      <xdr:row>18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04825" y="27622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18</xdr:row>
      <xdr:rowOff>0</xdr:rowOff>
    </xdr:from>
    <xdr:to>
      <xdr:col>4</xdr:col>
      <xdr:colOff>9525</xdr:colOff>
      <xdr:row>18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428875" y="27622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448300" y="27622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20</xdr:row>
      <xdr:rowOff>0</xdr:rowOff>
    </xdr:from>
    <xdr:to>
      <xdr:col>3</xdr:col>
      <xdr:colOff>28575</xdr:colOff>
      <xdr:row>20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04825" y="30289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20</xdr:row>
      <xdr:rowOff>0</xdr:rowOff>
    </xdr:from>
    <xdr:to>
      <xdr:col>4</xdr:col>
      <xdr:colOff>9525</xdr:colOff>
      <xdr:row>20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428875" y="30289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20</xdr:row>
      <xdr:rowOff>0</xdr:rowOff>
    </xdr:from>
    <xdr:to>
      <xdr:col>5</xdr:col>
      <xdr:colOff>9525</xdr:colOff>
      <xdr:row>20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5448300" y="30289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23</xdr:row>
      <xdr:rowOff>0</xdr:rowOff>
    </xdr:from>
    <xdr:to>
      <xdr:col>3</xdr:col>
      <xdr:colOff>28575</xdr:colOff>
      <xdr:row>23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504825" y="342900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23</xdr:row>
      <xdr:rowOff>0</xdr:rowOff>
    </xdr:from>
    <xdr:to>
      <xdr:col>4</xdr:col>
      <xdr:colOff>9525</xdr:colOff>
      <xdr:row>23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428875" y="342900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23</xdr:row>
      <xdr:rowOff>0</xdr:rowOff>
    </xdr:from>
    <xdr:to>
      <xdr:col>5</xdr:col>
      <xdr:colOff>9525</xdr:colOff>
      <xdr:row>23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448300" y="342900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24</xdr:row>
      <xdr:rowOff>0</xdr:rowOff>
    </xdr:from>
    <xdr:to>
      <xdr:col>3</xdr:col>
      <xdr:colOff>28575</xdr:colOff>
      <xdr:row>24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04825" y="35623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24</xdr:row>
      <xdr:rowOff>0</xdr:rowOff>
    </xdr:from>
    <xdr:to>
      <xdr:col>4</xdr:col>
      <xdr:colOff>9525</xdr:colOff>
      <xdr:row>24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428875" y="35623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5448300" y="35623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25</xdr:row>
      <xdr:rowOff>0</xdr:rowOff>
    </xdr:from>
    <xdr:to>
      <xdr:col>3</xdr:col>
      <xdr:colOff>28575</xdr:colOff>
      <xdr:row>25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504825" y="369570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25</xdr:row>
      <xdr:rowOff>0</xdr:rowOff>
    </xdr:from>
    <xdr:to>
      <xdr:col>4</xdr:col>
      <xdr:colOff>9525</xdr:colOff>
      <xdr:row>25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28875" y="369570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448300" y="369570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27</xdr:row>
      <xdr:rowOff>0</xdr:rowOff>
    </xdr:from>
    <xdr:to>
      <xdr:col>3</xdr:col>
      <xdr:colOff>28575</xdr:colOff>
      <xdr:row>27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04825" y="396240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27</xdr:row>
      <xdr:rowOff>0</xdr:rowOff>
    </xdr:from>
    <xdr:to>
      <xdr:col>4</xdr:col>
      <xdr:colOff>9525</xdr:colOff>
      <xdr:row>27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428875" y="396240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448300" y="396240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19050</xdr:colOff>
      <xdr:row>30</xdr:row>
      <xdr:rowOff>0</xdr:rowOff>
    </xdr:from>
    <xdr:to>
      <xdr:col>3</xdr:col>
      <xdr:colOff>28575</xdr:colOff>
      <xdr:row>30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4825" y="9048750"/>
          <a:ext cx="1924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2428875" y="9048750"/>
          <a:ext cx="3019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448300" y="9048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15000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15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15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10300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14</xdr:col>
      <xdr:colOff>0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722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10300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10300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80</xdr:row>
      <xdr:rowOff>0</xdr:rowOff>
    </xdr:from>
    <xdr:to>
      <xdr:col>2</xdr:col>
      <xdr:colOff>9525</xdr:colOff>
      <xdr:row>81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10429875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80</xdr:row>
      <xdr:rowOff>0</xdr:rowOff>
    </xdr:from>
    <xdr:to>
      <xdr:col>1</xdr:col>
      <xdr:colOff>0</xdr:colOff>
      <xdr:row>81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10429875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80</xdr:row>
      <xdr:rowOff>0</xdr:rowOff>
    </xdr:from>
    <xdr:to>
      <xdr:col>13</xdr:col>
      <xdr:colOff>9525</xdr:colOff>
      <xdr:row>81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10429875"/>
          <a:ext cx="57150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13</xdr:col>
      <xdr:colOff>9525</xdr:colOff>
      <xdr:row>80</xdr:row>
      <xdr:rowOff>0</xdr:rowOff>
    </xdr:from>
    <xdr:to>
      <xdr:col>14</xdr:col>
      <xdr:colOff>0</xdr:colOff>
      <xdr:row>81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10300" y="10429875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722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11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10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77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80581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11</xdr:row>
      <xdr:rowOff>0</xdr:rowOff>
    </xdr:from>
    <xdr:to>
      <xdr:col>14</xdr:col>
      <xdr:colOff>0</xdr:colOff>
      <xdr:row>77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72275" y="1809750"/>
          <a:ext cx="0" cy="80581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77</xdr:row>
      <xdr:rowOff>0</xdr:rowOff>
    </xdr:from>
    <xdr:to>
      <xdr:col>2</xdr:col>
      <xdr:colOff>9525</xdr:colOff>
      <xdr:row>80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9867900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77</xdr:row>
      <xdr:rowOff>0</xdr:rowOff>
    </xdr:from>
    <xdr:to>
      <xdr:col>1</xdr:col>
      <xdr:colOff>0</xdr:colOff>
      <xdr:row>80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9867900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77</xdr:row>
      <xdr:rowOff>0</xdr:rowOff>
    </xdr:from>
    <xdr:to>
      <xdr:col>2</xdr:col>
      <xdr:colOff>9525</xdr:colOff>
      <xdr:row>77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98679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77</xdr:row>
      <xdr:rowOff>0</xdr:rowOff>
    </xdr:from>
    <xdr:to>
      <xdr:col>14</xdr:col>
      <xdr:colOff>0</xdr:colOff>
      <xdr:row>80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10300" y="9867900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13</xdr:col>
      <xdr:colOff>9525</xdr:colOff>
      <xdr:row>77</xdr:row>
      <xdr:rowOff>0</xdr:rowOff>
    </xdr:from>
    <xdr:to>
      <xdr:col>13</xdr:col>
      <xdr:colOff>9525</xdr:colOff>
      <xdr:row>80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10300" y="9867900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77</xdr:row>
      <xdr:rowOff>0</xdr:rowOff>
    </xdr:from>
    <xdr:to>
      <xdr:col>14</xdr:col>
      <xdr:colOff>0</xdr:colOff>
      <xdr:row>77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10300" y="98679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5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57275" y="657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41922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</xdr:row>
      <xdr:rowOff>0</xdr:rowOff>
    </xdr:from>
    <xdr:to>
      <xdr:col>6</xdr:col>
      <xdr:colOff>9525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171700" y="657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533650" y="6572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</xdr:row>
      <xdr:rowOff>0</xdr:rowOff>
    </xdr:from>
    <xdr:to>
      <xdr:col>8</xdr:col>
      <xdr:colOff>9525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028950" y="657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390900" y="6572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048125" y="657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41007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</xdr:row>
      <xdr:rowOff>0</xdr:rowOff>
    </xdr:from>
    <xdr:to>
      <xdr:col>12</xdr:col>
      <xdr:colOff>9525</xdr:colOff>
      <xdr:row>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162550" y="657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</xdr:row>
      <xdr:rowOff>0</xdr:rowOff>
    </xdr:from>
    <xdr:to>
      <xdr:col>13</xdr:col>
      <xdr:colOff>9525</xdr:colOff>
      <xdr:row>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524500" y="6572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95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057275" y="180975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41922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11</xdr:row>
      <xdr:rowOff>0</xdr:rowOff>
    </xdr:from>
    <xdr:to>
      <xdr:col>6</xdr:col>
      <xdr:colOff>9525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171700" y="180975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533650" y="1809750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11</xdr:row>
      <xdr:rowOff>0</xdr:rowOff>
    </xdr:from>
    <xdr:to>
      <xdr:col>8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028950" y="180975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11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390900" y="1809750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048125" y="180975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41007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11</xdr:row>
      <xdr:rowOff>0</xdr:rowOff>
    </xdr:from>
    <xdr:to>
      <xdr:col>12</xdr:col>
      <xdr:colOff>9525</xdr:colOff>
      <xdr:row>11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162550" y="180975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11</xdr:row>
      <xdr:rowOff>0</xdr:rowOff>
    </xdr:from>
    <xdr:to>
      <xdr:col>13</xdr:col>
      <xdr:colOff>9525</xdr:colOff>
      <xdr:row>11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524500" y="1809750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495300" y="2962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057275" y="2962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41922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171700" y="2962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533650" y="29622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028950" y="2962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390900" y="29622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048125" y="2962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41007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162550" y="2962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524500" y="29622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0</xdr:colOff>
      <xdr:row>26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95300" y="36290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057275" y="3629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0</xdr:colOff>
      <xdr:row>26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41922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171700" y="3629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533650" y="36290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028950" y="3629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390900" y="36290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48125" y="3629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41007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162550" y="3629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524500" y="36290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31</xdr:row>
      <xdr:rowOff>0</xdr:rowOff>
    </xdr:from>
    <xdr:to>
      <xdr:col>3</xdr:col>
      <xdr:colOff>0</xdr:colOff>
      <xdr:row>31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95300" y="4295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057275" y="4295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0</xdr:colOff>
      <xdr:row>31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41922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171700" y="4295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533650" y="4295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028950" y="4295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390900" y="42957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048125" y="4295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41007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162550" y="4295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524500" y="42957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95300" y="49625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057275" y="4962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419225" y="4962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171700" y="4962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533650" y="49625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028950" y="4962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390900" y="49625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048125" y="4962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410075" y="4962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162550" y="4962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524500" y="49625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495300" y="5629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057275" y="5629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419225" y="5629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171700" y="5629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0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533650" y="56292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028950" y="5629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390900" y="56292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048125" y="5629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0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410075" y="5629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162550" y="56292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524500" y="56292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46</xdr:row>
      <xdr:rowOff>0</xdr:rowOff>
    </xdr:from>
    <xdr:to>
      <xdr:col>3</xdr:col>
      <xdr:colOff>0</xdr:colOff>
      <xdr:row>46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95300" y="62960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46</xdr:row>
      <xdr:rowOff>0</xdr:rowOff>
    </xdr:from>
    <xdr:to>
      <xdr:col>4</xdr:col>
      <xdr:colOff>9525</xdr:colOff>
      <xdr:row>46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057275" y="6296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46</xdr:row>
      <xdr:rowOff>0</xdr:rowOff>
    </xdr:from>
    <xdr:to>
      <xdr:col>5</xdr:col>
      <xdr:colOff>0</xdr:colOff>
      <xdr:row>46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1419225" y="6296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46</xdr:row>
      <xdr:rowOff>0</xdr:rowOff>
    </xdr:from>
    <xdr:to>
      <xdr:col>6</xdr:col>
      <xdr:colOff>9525</xdr:colOff>
      <xdr:row>46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171700" y="6296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46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533650" y="62960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46</xdr:row>
      <xdr:rowOff>0</xdr:rowOff>
    </xdr:from>
    <xdr:to>
      <xdr:col>8</xdr:col>
      <xdr:colOff>9525</xdr:colOff>
      <xdr:row>46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028950" y="6296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46</xdr:row>
      <xdr:rowOff>0</xdr:rowOff>
    </xdr:from>
    <xdr:to>
      <xdr:col>9</xdr:col>
      <xdr:colOff>0</xdr:colOff>
      <xdr:row>46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390900" y="62960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46</xdr:row>
      <xdr:rowOff>0</xdr:rowOff>
    </xdr:from>
    <xdr:to>
      <xdr:col>10</xdr:col>
      <xdr:colOff>9525</xdr:colOff>
      <xdr:row>46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048125" y="6296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46</xdr:row>
      <xdr:rowOff>0</xdr:rowOff>
    </xdr:from>
    <xdr:to>
      <xdr:col>11</xdr:col>
      <xdr:colOff>0</xdr:colOff>
      <xdr:row>46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4410075" y="6296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46</xdr:row>
      <xdr:rowOff>0</xdr:rowOff>
    </xdr:from>
    <xdr:to>
      <xdr:col>12</xdr:col>
      <xdr:colOff>9525</xdr:colOff>
      <xdr:row>46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162550" y="62960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524500" y="62960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51</xdr:row>
      <xdr:rowOff>0</xdr:rowOff>
    </xdr:from>
    <xdr:to>
      <xdr:col>3</xdr:col>
      <xdr:colOff>0</xdr:colOff>
      <xdr:row>51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95300" y="6962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51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057275" y="6962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51</xdr:row>
      <xdr:rowOff>0</xdr:rowOff>
    </xdr:from>
    <xdr:to>
      <xdr:col>5</xdr:col>
      <xdr:colOff>0</xdr:colOff>
      <xdr:row>51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1419225" y="696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51</xdr:row>
      <xdr:rowOff>0</xdr:rowOff>
    </xdr:from>
    <xdr:to>
      <xdr:col>6</xdr:col>
      <xdr:colOff>9525</xdr:colOff>
      <xdr:row>51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171700" y="6962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51</xdr:row>
      <xdr:rowOff>0</xdr:rowOff>
    </xdr:from>
    <xdr:to>
      <xdr:col>7</xdr:col>
      <xdr:colOff>0</xdr:colOff>
      <xdr:row>51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2533650" y="6962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51</xdr:row>
      <xdr:rowOff>0</xdr:rowOff>
    </xdr:from>
    <xdr:to>
      <xdr:col>8</xdr:col>
      <xdr:colOff>9525</xdr:colOff>
      <xdr:row>51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028950" y="6962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51</xdr:row>
      <xdr:rowOff>0</xdr:rowOff>
    </xdr:from>
    <xdr:to>
      <xdr:col>9</xdr:col>
      <xdr:colOff>0</xdr:colOff>
      <xdr:row>51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390900" y="69627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51</xdr:row>
      <xdr:rowOff>0</xdr:rowOff>
    </xdr:from>
    <xdr:to>
      <xdr:col>10</xdr:col>
      <xdr:colOff>9525</xdr:colOff>
      <xdr:row>51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048125" y="6962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51</xdr:row>
      <xdr:rowOff>0</xdr:rowOff>
    </xdr:from>
    <xdr:to>
      <xdr:col>11</xdr:col>
      <xdr:colOff>0</xdr:colOff>
      <xdr:row>51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4410075" y="696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51</xdr:row>
      <xdr:rowOff>0</xdr:rowOff>
    </xdr:from>
    <xdr:to>
      <xdr:col>12</xdr:col>
      <xdr:colOff>9525</xdr:colOff>
      <xdr:row>51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162550" y="6962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524500" y="69627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57</xdr:row>
      <xdr:rowOff>0</xdr:rowOff>
    </xdr:from>
    <xdr:to>
      <xdr:col>3</xdr:col>
      <xdr:colOff>0</xdr:colOff>
      <xdr:row>57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495300" y="7515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57</xdr:row>
      <xdr:rowOff>0</xdr:rowOff>
    </xdr:from>
    <xdr:to>
      <xdr:col>4</xdr:col>
      <xdr:colOff>9525</xdr:colOff>
      <xdr:row>57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057275" y="7515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57</xdr:row>
      <xdr:rowOff>0</xdr:rowOff>
    </xdr:from>
    <xdr:to>
      <xdr:col>5</xdr:col>
      <xdr:colOff>0</xdr:colOff>
      <xdr:row>57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419225" y="7515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57</xdr:row>
      <xdr:rowOff>0</xdr:rowOff>
    </xdr:from>
    <xdr:to>
      <xdr:col>6</xdr:col>
      <xdr:colOff>9525</xdr:colOff>
      <xdr:row>57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71700" y="7515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57</xdr:row>
      <xdr:rowOff>0</xdr:rowOff>
    </xdr:from>
    <xdr:to>
      <xdr:col>7</xdr:col>
      <xdr:colOff>0</xdr:colOff>
      <xdr:row>57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533650" y="75152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57</xdr:row>
      <xdr:rowOff>0</xdr:rowOff>
    </xdr:from>
    <xdr:to>
      <xdr:col>8</xdr:col>
      <xdr:colOff>9525</xdr:colOff>
      <xdr:row>57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028950" y="7515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57</xdr:row>
      <xdr:rowOff>0</xdr:rowOff>
    </xdr:from>
    <xdr:to>
      <xdr:col>9</xdr:col>
      <xdr:colOff>0</xdr:colOff>
      <xdr:row>57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90900" y="75152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57</xdr:row>
      <xdr:rowOff>0</xdr:rowOff>
    </xdr:from>
    <xdr:to>
      <xdr:col>10</xdr:col>
      <xdr:colOff>9525</xdr:colOff>
      <xdr:row>57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48125" y="7515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57</xdr:row>
      <xdr:rowOff>0</xdr:rowOff>
    </xdr:from>
    <xdr:to>
      <xdr:col>11</xdr:col>
      <xdr:colOff>0</xdr:colOff>
      <xdr:row>57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410075" y="7515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57</xdr:row>
      <xdr:rowOff>0</xdr:rowOff>
    </xdr:from>
    <xdr:to>
      <xdr:col>12</xdr:col>
      <xdr:colOff>9525</xdr:colOff>
      <xdr:row>57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162550" y="75152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57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524500" y="75152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63</xdr:row>
      <xdr:rowOff>0</xdr:rowOff>
    </xdr:from>
    <xdr:to>
      <xdr:col>3</xdr:col>
      <xdr:colOff>0</xdr:colOff>
      <xdr:row>63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95300" y="82200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63</xdr:row>
      <xdr:rowOff>0</xdr:rowOff>
    </xdr:from>
    <xdr:to>
      <xdr:col>4</xdr:col>
      <xdr:colOff>9525</xdr:colOff>
      <xdr:row>63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057275" y="82200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63</xdr:row>
      <xdr:rowOff>0</xdr:rowOff>
    </xdr:from>
    <xdr:to>
      <xdr:col>5</xdr:col>
      <xdr:colOff>0</xdr:colOff>
      <xdr:row>63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1419225" y="82200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63</xdr:row>
      <xdr:rowOff>0</xdr:rowOff>
    </xdr:from>
    <xdr:to>
      <xdr:col>6</xdr:col>
      <xdr:colOff>9525</xdr:colOff>
      <xdr:row>63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171700" y="82200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63</xdr:row>
      <xdr:rowOff>0</xdr:rowOff>
    </xdr:from>
    <xdr:to>
      <xdr:col>7</xdr:col>
      <xdr:colOff>0</xdr:colOff>
      <xdr:row>63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533650" y="82200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63</xdr:row>
      <xdr:rowOff>0</xdr:rowOff>
    </xdr:from>
    <xdr:to>
      <xdr:col>8</xdr:col>
      <xdr:colOff>9525</xdr:colOff>
      <xdr:row>63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028950" y="82200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63</xdr:row>
      <xdr:rowOff>0</xdr:rowOff>
    </xdr:from>
    <xdr:to>
      <xdr:col>9</xdr:col>
      <xdr:colOff>0</xdr:colOff>
      <xdr:row>63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390900" y="82200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63</xdr:row>
      <xdr:rowOff>0</xdr:rowOff>
    </xdr:from>
    <xdr:to>
      <xdr:col>10</xdr:col>
      <xdr:colOff>9525</xdr:colOff>
      <xdr:row>63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048125" y="82200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63</xdr:row>
      <xdr:rowOff>0</xdr:rowOff>
    </xdr:from>
    <xdr:to>
      <xdr:col>11</xdr:col>
      <xdr:colOff>0</xdr:colOff>
      <xdr:row>63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4410075" y="82200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63</xdr:row>
      <xdr:rowOff>0</xdr:rowOff>
    </xdr:from>
    <xdr:to>
      <xdr:col>12</xdr:col>
      <xdr:colOff>9525</xdr:colOff>
      <xdr:row>63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162550" y="82200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63</xdr:row>
      <xdr:rowOff>0</xdr:rowOff>
    </xdr:from>
    <xdr:to>
      <xdr:col>13</xdr:col>
      <xdr:colOff>9525</xdr:colOff>
      <xdr:row>63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524500" y="82200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64</xdr:row>
      <xdr:rowOff>0</xdr:rowOff>
    </xdr:from>
    <xdr:to>
      <xdr:col>3</xdr:col>
      <xdr:colOff>0</xdr:colOff>
      <xdr:row>64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95300" y="83534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64</xdr:row>
      <xdr:rowOff>0</xdr:rowOff>
    </xdr:from>
    <xdr:to>
      <xdr:col>4</xdr:col>
      <xdr:colOff>9525</xdr:colOff>
      <xdr:row>64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057275" y="83534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64</xdr:row>
      <xdr:rowOff>0</xdr:rowOff>
    </xdr:from>
    <xdr:to>
      <xdr:col>5</xdr:col>
      <xdr:colOff>0</xdr:colOff>
      <xdr:row>64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1419225" y="83534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64</xdr:row>
      <xdr:rowOff>0</xdr:rowOff>
    </xdr:from>
    <xdr:to>
      <xdr:col>6</xdr:col>
      <xdr:colOff>9525</xdr:colOff>
      <xdr:row>64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171700" y="83534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64</xdr:row>
      <xdr:rowOff>0</xdr:rowOff>
    </xdr:from>
    <xdr:to>
      <xdr:col>7</xdr:col>
      <xdr:colOff>0</xdr:colOff>
      <xdr:row>64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2533650" y="83534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64</xdr:row>
      <xdr:rowOff>0</xdr:rowOff>
    </xdr:from>
    <xdr:to>
      <xdr:col>8</xdr:col>
      <xdr:colOff>9525</xdr:colOff>
      <xdr:row>64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3028950" y="83534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64</xdr:row>
      <xdr:rowOff>0</xdr:rowOff>
    </xdr:from>
    <xdr:to>
      <xdr:col>9</xdr:col>
      <xdr:colOff>0</xdr:colOff>
      <xdr:row>64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390900" y="83534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64</xdr:row>
      <xdr:rowOff>0</xdr:rowOff>
    </xdr:from>
    <xdr:to>
      <xdr:col>10</xdr:col>
      <xdr:colOff>9525</xdr:colOff>
      <xdr:row>64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4048125" y="83534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64</xdr:row>
      <xdr:rowOff>0</xdr:rowOff>
    </xdr:from>
    <xdr:to>
      <xdr:col>11</xdr:col>
      <xdr:colOff>0</xdr:colOff>
      <xdr:row>64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4410075" y="83534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64</xdr:row>
      <xdr:rowOff>0</xdr:rowOff>
    </xdr:from>
    <xdr:to>
      <xdr:col>12</xdr:col>
      <xdr:colOff>9525</xdr:colOff>
      <xdr:row>64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5162550" y="83534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64</xdr:row>
      <xdr:rowOff>0</xdr:rowOff>
    </xdr:from>
    <xdr:to>
      <xdr:col>13</xdr:col>
      <xdr:colOff>9525</xdr:colOff>
      <xdr:row>64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524500" y="83534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65</xdr:row>
      <xdr:rowOff>0</xdr:rowOff>
    </xdr:from>
    <xdr:to>
      <xdr:col>3</xdr:col>
      <xdr:colOff>0</xdr:colOff>
      <xdr:row>65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495300" y="8486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65</xdr:row>
      <xdr:rowOff>0</xdr:rowOff>
    </xdr:from>
    <xdr:to>
      <xdr:col>4</xdr:col>
      <xdr:colOff>9525</xdr:colOff>
      <xdr:row>65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1057275" y="8486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65</xdr:row>
      <xdr:rowOff>0</xdr:rowOff>
    </xdr:from>
    <xdr:to>
      <xdr:col>5</xdr:col>
      <xdr:colOff>0</xdr:colOff>
      <xdr:row>65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1419225" y="8486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65</xdr:row>
      <xdr:rowOff>0</xdr:rowOff>
    </xdr:from>
    <xdr:to>
      <xdr:col>6</xdr:col>
      <xdr:colOff>9525</xdr:colOff>
      <xdr:row>65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171700" y="8486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65</xdr:row>
      <xdr:rowOff>0</xdr:rowOff>
    </xdr:from>
    <xdr:to>
      <xdr:col>7</xdr:col>
      <xdr:colOff>0</xdr:colOff>
      <xdr:row>65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2533650" y="8486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65</xdr:row>
      <xdr:rowOff>0</xdr:rowOff>
    </xdr:from>
    <xdr:to>
      <xdr:col>8</xdr:col>
      <xdr:colOff>9525</xdr:colOff>
      <xdr:row>65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028950" y="8486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65</xdr:row>
      <xdr:rowOff>0</xdr:rowOff>
    </xdr:from>
    <xdr:to>
      <xdr:col>9</xdr:col>
      <xdr:colOff>0</xdr:colOff>
      <xdr:row>65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390900" y="84867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65</xdr:row>
      <xdr:rowOff>0</xdr:rowOff>
    </xdr:from>
    <xdr:to>
      <xdr:col>10</xdr:col>
      <xdr:colOff>9525</xdr:colOff>
      <xdr:row>65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048125" y="8486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65</xdr:row>
      <xdr:rowOff>0</xdr:rowOff>
    </xdr:from>
    <xdr:to>
      <xdr:col>11</xdr:col>
      <xdr:colOff>0</xdr:colOff>
      <xdr:row>65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4410075" y="8486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65</xdr:row>
      <xdr:rowOff>0</xdr:rowOff>
    </xdr:from>
    <xdr:to>
      <xdr:col>12</xdr:col>
      <xdr:colOff>9525</xdr:colOff>
      <xdr:row>65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162550" y="84867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65</xdr:row>
      <xdr:rowOff>0</xdr:rowOff>
    </xdr:from>
    <xdr:to>
      <xdr:col>13</xdr:col>
      <xdr:colOff>9525</xdr:colOff>
      <xdr:row>65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524500" y="84867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67</xdr:row>
      <xdr:rowOff>0</xdr:rowOff>
    </xdr:from>
    <xdr:to>
      <xdr:col>3</xdr:col>
      <xdr:colOff>0</xdr:colOff>
      <xdr:row>67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495300" y="87534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67</xdr:row>
      <xdr:rowOff>0</xdr:rowOff>
    </xdr:from>
    <xdr:to>
      <xdr:col>4</xdr:col>
      <xdr:colOff>9525</xdr:colOff>
      <xdr:row>67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1057275" y="87534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67</xdr:row>
      <xdr:rowOff>0</xdr:rowOff>
    </xdr:from>
    <xdr:to>
      <xdr:col>5</xdr:col>
      <xdr:colOff>0</xdr:colOff>
      <xdr:row>67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1419225" y="87534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67</xdr:row>
      <xdr:rowOff>0</xdr:rowOff>
    </xdr:from>
    <xdr:to>
      <xdr:col>6</xdr:col>
      <xdr:colOff>9525</xdr:colOff>
      <xdr:row>67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2171700" y="87534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67</xdr:row>
      <xdr:rowOff>0</xdr:rowOff>
    </xdr:from>
    <xdr:to>
      <xdr:col>7</xdr:col>
      <xdr:colOff>0</xdr:colOff>
      <xdr:row>67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2533650" y="87534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67</xdr:row>
      <xdr:rowOff>0</xdr:rowOff>
    </xdr:from>
    <xdr:to>
      <xdr:col>8</xdr:col>
      <xdr:colOff>9525</xdr:colOff>
      <xdr:row>67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3028950" y="87534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67</xdr:row>
      <xdr:rowOff>0</xdr:rowOff>
    </xdr:from>
    <xdr:to>
      <xdr:col>9</xdr:col>
      <xdr:colOff>0</xdr:colOff>
      <xdr:row>67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3390900" y="87534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67</xdr:row>
      <xdr:rowOff>0</xdr:rowOff>
    </xdr:from>
    <xdr:to>
      <xdr:col>10</xdr:col>
      <xdr:colOff>9525</xdr:colOff>
      <xdr:row>67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4048125" y="87534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67</xdr:row>
      <xdr:rowOff>0</xdr:rowOff>
    </xdr:from>
    <xdr:to>
      <xdr:col>11</xdr:col>
      <xdr:colOff>0</xdr:colOff>
      <xdr:row>67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4410075" y="87534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67</xdr:row>
      <xdr:rowOff>0</xdr:rowOff>
    </xdr:from>
    <xdr:to>
      <xdr:col>12</xdr:col>
      <xdr:colOff>9525</xdr:colOff>
      <xdr:row>67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5162550" y="87534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67</xdr:row>
      <xdr:rowOff>0</xdr:rowOff>
    </xdr:from>
    <xdr:to>
      <xdr:col>13</xdr:col>
      <xdr:colOff>9525</xdr:colOff>
      <xdr:row>67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5524500" y="87534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68</xdr:row>
      <xdr:rowOff>0</xdr:rowOff>
    </xdr:from>
    <xdr:to>
      <xdr:col>3</xdr:col>
      <xdr:colOff>0</xdr:colOff>
      <xdr:row>68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495300" y="88868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68</xdr:row>
      <xdr:rowOff>0</xdr:rowOff>
    </xdr:from>
    <xdr:to>
      <xdr:col>4</xdr:col>
      <xdr:colOff>9525</xdr:colOff>
      <xdr:row>68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1057275" y="88868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68</xdr:row>
      <xdr:rowOff>0</xdr:rowOff>
    </xdr:from>
    <xdr:to>
      <xdr:col>5</xdr:col>
      <xdr:colOff>0</xdr:colOff>
      <xdr:row>68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1419225" y="88868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68</xdr:row>
      <xdr:rowOff>0</xdr:rowOff>
    </xdr:from>
    <xdr:to>
      <xdr:col>6</xdr:col>
      <xdr:colOff>9525</xdr:colOff>
      <xdr:row>68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2171700" y="88868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68</xdr:row>
      <xdr:rowOff>0</xdr:rowOff>
    </xdr:from>
    <xdr:to>
      <xdr:col>7</xdr:col>
      <xdr:colOff>0</xdr:colOff>
      <xdr:row>68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2533650" y="88868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68</xdr:row>
      <xdr:rowOff>0</xdr:rowOff>
    </xdr:from>
    <xdr:to>
      <xdr:col>8</xdr:col>
      <xdr:colOff>9525</xdr:colOff>
      <xdr:row>68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3028950" y="88868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68</xdr:row>
      <xdr:rowOff>0</xdr:rowOff>
    </xdr:from>
    <xdr:to>
      <xdr:col>9</xdr:col>
      <xdr:colOff>0</xdr:colOff>
      <xdr:row>68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3390900" y="88868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68</xdr:row>
      <xdr:rowOff>0</xdr:rowOff>
    </xdr:from>
    <xdr:to>
      <xdr:col>10</xdr:col>
      <xdr:colOff>9525</xdr:colOff>
      <xdr:row>68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4048125" y="88868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68</xdr:row>
      <xdr:rowOff>0</xdr:rowOff>
    </xdr:from>
    <xdr:to>
      <xdr:col>11</xdr:col>
      <xdr:colOff>0</xdr:colOff>
      <xdr:row>68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4410075" y="88868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68</xdr:row>
      <xdr:rowOff>0</xdr:rowOff>
    </xdr:from>
    <xdr:to>
      <xdr:col>12</xdr:col>
      <xdr:colOff>9525</xdr:colOff>
      <xdr:row>68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5162550" y="88868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68</xdr:row>
      <xdr:rowOff>0</xdr:rowOff>
    </xdr:from>
    <xdr:to>
      <xdr:col>13</xdr:col>
      <xdr:colOff>9525</xdr:colOff>
      <xdr:row>68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5524500" y="88868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69</xdr:row>
      <xdr:rowOff>0</xdr:rowOff>
    </xdr:from>
    <xdr:to>
      <xdr:col>3</xdr:col>
      <xdr:colOff>0</xdr:colOff>
      <xdr:row>69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495300" y="90201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69</xdr:row>
      <xdr:rowOff>0</xdr:rowOff>
    </xdr:from>
    <xdr:to>
      <xdr:col>4</xdr:col>
      <xdr:colOff>9525</xdr:colOff>
      <xdr:row>69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1057275" y="90201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69</xdr:row>
      <xdr:rowOff>0</xdr:rowOff>
    </xdr:from>
    <xdr:to>
      <xdr:col>5</xdr:col>
      <xdr:colOff>0</xdr:colOff>
      <xdr:row>69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1419225" y="9020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69</xdr:row>
      <xdr:rowOff>0</xdr:rowOff>
    </xdr:from>
    <xdr:to>
      <xdr:col>6</xdr:col>
      <xdr:colOff>9525</xdr:colOff>
      <xdr:row>69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2171700" y="90201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69</xdr:row>
      <xdr:rowOff>0</xdr:rowOff>
    </xdr:from>
    <xdr:to>
      <xdr:col>7</xdr:col>
      <xdr:colOff>0</xdr:colOff>
      <xdr:row>69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2533650" y="90201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69</xdr:row>
      <xdr:rowOff>0</xdr:rowOff>
    </xdr:from>
    <xdr:to>
      <xdr:col>8</xdr:col>
      <xdr:colOff>9525</xdr:colOff>
      <xdr:row>69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3028950" y="90201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69</xdr:row>
      <xdr:rowOff>0</xdr:rowOff>
    </xdr:from>
    <xdr:to>
      <xdr:col>9</xdr:col>
      <xdr:colOff>0</xdr:colOff>
      <xdr:row>69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3390900" y="90201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69</xdr:row>
      <xdr:rowOff>0</xdr:rowOff>
    </xdr:from>
    <xdr:to>
      <xdr:col>10</xdr:col>
      <xdr:colOff>9525</xdr:colOff>
      <xdr:row>69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4048125" y="90201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69</xdr:row>
      <xdr:rowOff>0</xdr:rowOff>
    </xdr:from>
    <xdr:to>
      <xdr:col>11</xdr:col>
      <xdr:colOff>0</xdr:colOff>
      <xdr:row>69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4410075" y="9020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69</xdr:row>
      <xdr:rowOff>0</xdr:rowOff>
    </xdr:from>
    <xdr:to>
      <xdr:col>12</xdr:col>
      <xdr:colOff>9525</xdr:colOff>
      <xdr:row>69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5162550" y="90201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69</xdr:row>
      <xdr:rowOff>0</xdr:rowOff>
    </xdr:from>
    <xdr:to>
      <xdr:col>13</xdr:col>
      <xdr:colOff>9525</xdr:colOff>
      <xdr:row>69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5524500" y="90201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70</xdr:row>
      <xdr:rowOff>0</xdr:rowOff>
    </xdr:from>
    <xdr:to>
      <xdr:col>3</xdr:col>
      <xdr:colOff>0</xdr:colOff>
      <xdr:row>70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495300" y="91535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70</xdr:row>
      <xdr:rowOff>0</xdr:rowOff>
    </xdr:from>
    <xdr:to>
      <xdr:col>4</xdr:col>
      <xdr:colOff>9525</xdr:colOff>
      <xdr:row>70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1057275" y="9153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70</xdr:row>
      <xdr:rowOff>0</xdr:rowOff>
    </xdr:from>
    <xdr:to>
      <xdr:col>5</xdr:col>
      <xdr:colOff>0</xdr:colOff>
      <xdr:row>70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1419225" y="9153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70</xdr:row>
      <xdr:rowOff>0</xdr:rowOff>
    </xdr:from>
    <xdr:to>
      <xdr:col>6</xdr:col>
      <xdr:colOff>9525</xdr:colOff>
      <xdr:row>70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2171700" y="9153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70</xdr:row>
      <xdr:rowOff>0</xdr:rowOff>
    </xdr:from>
    <xdr:to>
      <xdr:col>7</xdr:col>
      <xdr:colOff>0</xdr:colOff>
      <xdr:row>70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2533650" y="91535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70</xdr:row>
      <xdr:rowOff>0</xdr:rowOff>
    </xdr:from>
    <xdr:to>
      <xdr:col>8</xdr:col>
      <xdr:colOff>9525</xdr:colOff>
      <xdr:row>70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3028950" y="9153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70</xdr:row>
      <xdr:rowOff>0</xdr:rowOff>
    </xdr:from>
    <xdr:to>
      <xdr:col>9</xdr:col>
      <xdr:colOff>0</xdr:colOff>
      <xdr:row>70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3390900" y="91535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70</xdr:row>
      <xdr:rowOff>0</xdr:rowOff>
    </xdr:from>
    <xdr:to>
      <xdr:col>10</xdr:col>
      <xdr:colOff>9525</xdr:colOff>
      <xdr:row>70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4048125" y="9153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70</xdr:row>
      <xdr:rowOff>0</xdr:rowOff>
    </xdr:from>
    <xdr:to>
      <xdr:col>11</xdr:col>
      <xdr:colOff>0</xdr:colOff>
      <xdr:row>70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4410075" y="9153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70</xdr:row>
      <xdr:rowOff>0</xdr:rowOff>
    </xdr:from>
    <xdr:to>
      <xdr:col>12</xdr:col>
      <xdr:colOff>9525</xdr:colOff>
      <xdr:row>70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5162550" y="91535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70</xdr:row>
      <xdr:rowOff>0</xdr:rowOff>
    </xdr:from>
    <xdr:to>
      <xdr:col>13</xdr:col>
      <xdr:colOff>9525</xdr:colOff>
      <xdr:row>70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5524500" y="91535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73</xdr:row>
      <xdr:rowOff>0</xdr:rowOff>
    </xdr:from>
    <xdr:to>
      <xdr:col>3</xdr:col>
      <xdr:colOff>0</xdr:colOff>
      <xdr:row>73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495300" y="95535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73</xdr:row>
      <xdr:rowOff>0</xdr:rowOff>
    </xdr:from>
    <xdr:to>
      <xdr:col>4</xdr:col>
      <xdr:colOff>9525</xdr:colOff>
      <xdr:row>73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1057275" y="95535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73</xdr:row>
      <xdr:rowOff>0</xdr:rowOff>
    </xdr:from>
    <xdr:to>
      <xdr:col>5</xdr:col>
      <xdr:colOff>0</xdr:colOff>
      <xdr:row>73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1419225" y="95535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73</xdr:row>
      <xdr:rowOff>0</xdr:rowOff>
    </xdr:from>
    <xdr:to>
      <xdr:col>6</xdr:col>
      <xdr:colOff>9525</xdr:colOff>
      <xdr:row>73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2171700" y="95535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73</xdr:row>
      <xdr:rowOff>0</xdr:rowOff>
    </xdr:from>
    <xdr:to>
      <xdr:col>7</xdr:col>
      <xdr:colOff>0</xdr:colOff>
      <xdr:row>73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2533650" y="95535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73</xdr:row>
      <xdr:rowOff>0</xdr:rowOff>
    </xdr:from>
    <xdr:to>
      <xdr:col>8</xdr:col>
      <xdr:colOff>9525</xdr:colOff>
      <xdr:row>73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3028950" y="95535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73</xdr:row>
      <xdr:rowOff>0</xdr:rowOff>
    </xdr:from>
    <xdr:to>
      <xdr:col>9</xdr:col>
      <xdr:colOff>0</xdr:colOff>
      <xdr:row>73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3390900" y="95535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73</xdr:row>
      <xdr:rowOff>0</xdr:rowOff>
    </xdr:from>
    <xdr:to>
      <xdr:col>10</xdr:col>
      <xdr:colOff>9525</xdr:colOff>
      <xdr:row>73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4048125" y="95535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73</xdr:row>
      <xdr:rowOff>0</xdr:rowOff>
    </xdr:from>
    <xdr:to>
      <xdr:col>11</xdr:col>
      <xdr:colOff>0</xdr:colOff>
      <xdr:row>73</xdr:row>
      <xdr:rowOff>0</xdr:rowOff>
    </xdr:to>
    <xdr:sp macro="" textlink="">
      <xdr:nvSpPr>
        <xdr:cNvPr id="224" name="Line 223"/>
        <xdr:cNvSpPr>
          <a:spLocks noChangeShapeType="1"/>
        </xdr:cNvSpPr>
      </xdr:nvSpPr>
      <xdr:spPr bwMode="auto">
        <a:xfrm>
          <a:off x="4410075" y="95535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73</xdr:row>
      <xdr:rowOff>0</xdr:rowOff>
    </xdr:from>
    <xdr:to>
      <xdr:col>12</xdr:col>
      <xdr:colOff>9525</xdr:colOff>
      <xdr:row>73</xdr:row>
      <xdr:rowOff>0</xdr:rowOff>
    </xdr:to>
    <xdr:sp macro="" textlink="">
      <xdr:nvSpPr>
        <xdr:cNvPr id="225" name="Line 224"/>
        <xdr:cNvSpPr>
          <a:spLocks noChangeShapeType="1"/>
        </xdr:cNvSpPr>
      </xdr:nvSpPr>
      <xdr:spPr bwMode="auto">
        <a:xfrm>
          <a:off x="5162550" y="955357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73</xdr:row>
      <xdr:rowOff>0</xdr:rowOff>
    </xdr:from>
    <xdr:to>
      <xdr:col>13</xdr:col>
      <xdr:colOff>9525</xdr:colOff>
      <xdr:row>73</xdr:row>
      <xdr:rowOff>0</xdr:rowOff>
    </xdr:to>
    <xdr:sp macro="" textlink="">
      <xdr:nvSpPr>
        <xdr:cNvPr id="226" name="Line 225"/>
        <xdr:cNvSpPr>
          <a:spLocks noChangeShapeType="1"/>
        </xdr:cNvSpPr>
      </xdr:nvSpPr>
      <xdr:spPr bwMode="auto">
        <a:xfrm>
          <a:off x="5524500" y="95535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74</xdr:row>
      <xdr:rowOff>0</xdr:rowOff>
    </xdr:from>
    <xdr:to>
      <xdr:col>3</xdr:col>
      <xdr:colOff>0</xdr:colOff>
      <xdr:row>74</xdr:row>
      <xdr:rowOff>0</xdr:rowOff>
    </xdr:to>
    <xdr:sp macro="" textlink="">
      <xdr:nvSpPr>
        <xdr:cNvPr id="227" name="Line 226"/>
        <xdr:cNvSpPr>
          <a:spLocks noChangeShapeType="1"/>
        </xdr:cNvSpPr>
      </xdr:nvSpPr>
      <xdr:spPr bwMode="auto">
        <a:xfrm>
          <a:off x="495300" y="9686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74</xdr:row>
      <xdr:rowOff>0</xdr:rowOff>
    </xdr:from>
    <xdr:to>
      <xdr:col>4</xdr:col>
      <xdr:colOff>9525</xdr:colOff>
      <xdr:row>74</xdr:row>
      <xdr:rowOff>0</xdr:rowOff>
    </xdr:to>
    <xdr:sp macro="" textlink="">
      <xdr:nvSpPr>
        <xdr:cNvPr id="228" name="Line 227"/>
        <xdr:cNvSpPr>
          <a:spLocks noChangeShapeType="1"/>
        </xdr:cNvSpPr>
      </xdr:nvSpPr>
      <xdr:spPr bwMode="auto">
        <a:xfrm>
          <a:off x="1057275" y="96869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74</xdr:row>
      <xdr:rowOff>0</xdr:rowOff>
    </xdr:from>
    <xdr:to>
      <xdr:col>5</xdr:col>
      <xdr:colOff>0</xdr:colOff>
      <xdr:row>74</xdr:row>
      <xdr:rowOff>0</xdr:rowOff>
    </xdr:to>
    <xdr:sp macro="" textlink="">
      <xdr:nvSpPr>
        <xdr:cNvPr id="229" name="Line 228"/>
        <xdr:cNvSpPr>
          <a:spLocks noChangeShapeType="1"/>
        </xdr:cNvSpPr>
      </xdr:nvSpPr>
      <xdr:spPr bwMode="auto">
        <a:xfrm>
          <a:off x="1419225" y="9686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74</xdr:row>
      <xdr:rowOff>0</xdr:rowOff>
    </xdr:from>
    <xdr:to>
      <xdr:col>6</xdr:col>
      <xdr:colOff>9525</xdr:colOff>
      <xdr:row>74</xdr:row>
      <xdr:rowOff>0</xdr:rowOff>
    </xdr:to>
    <xdr:sp macro="" textlink="">
      <xdr:nvSpPr>
        <xdr:cNvPr id="230" name="Line 229"/>
        <xdr:cNvSpPr>
          <a:spLocks noChangeShapeType="1"/>
        </xdr:cNvSpPr>
      </xdr:nvSpPr>
      <xdr:spPr bwMode="auto">
        <a:xfrm>
          <a:off x="2171700" y="96869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74</xdr:row>
      <xdr:rowOff>0</xdr:rowOff>
    </xdr:from>
    <xdr:to>
      <xdr:col>7</xdr:col>
      <xdr:colOff>0</xdr:colOff>
      <xdr:row>74</xdr:row>
      <xdr:rowOff>0</xdr:rowOff>
    </xdr:to>
    <xdr:sp macro="" textlink="">
      <xdr:nvSpPr>
        <xdr:cNvPr id="231" name="Line 230"/>
        <xdr:cNvSpPr>
          <a:spLocks noChangeShapeType="1"/>
        </xdr:cNvSpPr>
      </xdr:nvSpPr>
      <xdr:spPr bwMode="auto">
        <a:xfrm>
          <a:off x="2533650" y="96869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74</xdr:row>
      <xdr:rowOff>0</xdr:rowOff>
    </xdr:from>
    <xdr:to>
      <xdr:col>8</xdr:col>
      <xdr:colOff>9525</xdr:colOff>
      <xdr:row>74</xdr:row>
      <xdr:rowOff>0</xdr:rowOff>
    </xdr:to>
    <xdr:sp macro="" textlink="">
      <xdr:nvSpPr>
        <xdr:cNvPr id="232" name="Line 231"/>
        <xdr:cNvSpPr>
          <a:spLocks noChangeShapeType="1"/>
        </xdr:cNvSpPr>
      </xdr:nvSpPr>
      <xdr:spPr bwMode="auto">
        <a:xfrm>
          <a:off x="3028950" y="96869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74</xdr:row>
      <xdr:rowOff>0</xdr:rowOff>
    </xdr:from>
    <xdr:to>
      <xdr:col>9</xdr:col>
      <xdr:colOff>0</xdr:colOff>
      <xdr:row>74</xdr:row>
      <xdr:rowOff>0</xdr:rowOff>
    </xdr:to>
    <xdr:sp macro="" textlink="">
      <xdr:nvSpPr>
        <xdr:cNvPr id="233" name="Line 232"/>
        <xdr:cNvSpPr>
          <a:spLocks noChangeShapeType="1"/>
        </xdr:cNvSpPr>
      </xdr:nvSpPr>
      <xdr:spPr bwMode="auto">
        <a:xfrm>
          <a:off x="3390900" y="96869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74</xdr:row>
      <xdr:rowOff>0</xdr:rowOff>
    </xdr:from>
    <xdr:to>
      <xdr:col>10</xdr:col>
      <xdr:colOff>9525</xdr:colOff>
      <xdr:row>74</xdr:row>
      <xdr:rowOff>0</xdr:rowOff>
    </xdr:to>
    <xdr:sp macro="" textlink="">
      <xdr:nvSpPr>
        <xdr:cNvPr id="234" name="Line 233"/>
        <xdr:cNvSpPr>
          <a:spLocks noChangeShapeType="1"/>
        </xdr:cNvSpPr>
      </xdr:nvSpPr>
      <xdr:spPr bwMode="auto">
        <a:xfrm>
          <a:off x="4048125" y="96869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74</xdr:row>
      <xdr:rowOff>0</xdr:rowOff>
    </xdr:from>
    <xdr:to>
      <xdr:col>11</xdr:col>
      <xdr:colOff>0</xdr:colOff>
      <xdr:row>74</xdr:row>
      <xdr:rowOff>0</xdr:rowOff>
    </xdr:to>
    <xdr:sp macro="" textlink="">
      <xdr:nvSpPr>
        <xdr:cNvPr id="235" name="Line 234"/>
        <xdr:cNvSpPr>
          <a:spLocks noChangeShapeType="1"/>
        </xdr:cNvSpPr>
      </xdr:nvSpPr>
      <xdr:spPr bwMode="auto">
        <a:xfrm>
          <a:off x="4410075" y="9686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74</xdr:row>
      <xdr:rowOff>0</xdr:rowOff>
    </xdr:from>
    <xdr:to>
      <xdr:col>12</xdr:col>
      <xdr:colOff>9525</xdr:colOff>
      <xdr:row>74</xdr:row>
      <xdr:rowOff>0</xdr:rowOff>
    </xdr:to>
    <xdr:sp macro="" textlink="">
      <xdr:nvSpPr>
        <xdr:cNvPr id="236" name="Line 235"/>
        <xdr:cNvSpPr>
          <a:spLocks noChangeShapeType="1"/>
        </xdr:cNvSpPr>
      </xdr:nvSpPr>
      <xdr:spPr bwMode="auto">
        <a:xfrm>
          <a:off x="5162550" y="9686925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74</xdr:row>
      <xdr:rowOff>0</xdr:rowOff>
    </xdr:from>
    <xdr:to>
      <xdr:col>13</xdr:col>
      <xdr:colOff>9525</xdr:colOff>
      <xdr:row>74</xdr:row>
      <xdr:rowOff>0</xdr:rowOff>
    </xdr:to>
    <xdr:sp macro="" textlink="">
      <xdr:nvSpPr>
        <xdr:cNvPr id="237" name="Line 236"/>
        <xdr:cNvSpPr>
          <a:spLocks noChangeShapeType="1"/>
        </xdr:cNvSpPr>
      </xdr:nvSpPr>
      <xdr:spPr bwMode="auto">
        <a:xfrm>
          <a:off x="5524500" y="96869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77</xdr:row>
      <xdr:rowOff>0</xdr:rowOff>
    </xdr:from>
    <xdr:to>
      <xdr:col>3</xdr:col>
      <xdr:colOff>0</xdr:colOff>
      <xdr:row>77</xdr:row>
      <xdr:rowOff>0</xdr:rowOff>
    </xdr:to>
    <xdr:sp macro="" textlink="">
      <xdr:nvSpPr>
        <xdr:cNvPr id="238" name="Line 237"/>
        <xdr:cNvSpPr>
          <a:spLocks noChangeShapeType="1"/>
        </xdr:cNvSpPr>
      </xdr:nvSpPr>
      <xdr:spPr bwMode="auto">
        <a:xfrm>
          <a:off x="495300" y="98679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77</xdr:row>
      <xdr:rowOff>0</xdr:rowOff>
    </xdr:from>
    <xdr:to>
      <xdr:col>4</xdr:col>
      <xdr:colOff>9525</xdr:colOff>
      <xdr:row>77</xdr:row>
      <xdr:rowOff>0</xdr:rowOff>
    </xdr:to>
    <xdr:sp macro="" textlink="">
      <xdr:nvSpPr>
        <xdr:cNvPr id="239" name="Line 238"/>
        <xdr:cNvSpPr>
          <a:spLocks noChangeShapeType="1"/>
        </xdr:cNvSpPr>
      </xdr:nvSpPr>
      <xdr:spPr bwMode="auto">
        <a:xfrm>
          <a:off x="1057275" y="986790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77</xdr:row>
      <xdr:rowOff>0</xdr:rowOff>
    </xdr:from>
    <xdr:to>
      <xdr:col>5</xdr:col>
      <xdr:colOff>0</xdr:colOff>
      <xdr:row>77</xdr:row>
      <xdr:rowOff>0</xdr:rowOff>
    </xdr:to>
    <xdr:sp macro="" textlink="">
      <xdr:nvSpPr>
        <xdr:cNvPr id="240" name="Line 239"/>
        <xdr:cNvSpPr>
          <a:spLocks noChangeShapeType="1"/>
        </xdr:cNvSpPr>
      </xdr:nvSpPr>
      <xdr:spPr bwMode="auto">
        <a:xfrm>
          <a:off x="1419225" y="986790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77</xdr:row>
      <xdr:rowOff>0</xdr:rowOff>
    </xdr:from>
    <xdr:to>
      <xdr:col>6</xdr:col>
      <xdr:colOff>9525</xdr:colOff>
      <xdr:row>77</xdr:row>
      <xdr:rowOff>0</xdr:rowOff>
    </xdr:to>
    <xdr:sp macro="" textlink="">
      <xdr:nvSpPr>
        <xdr:cNvPr id="241" name="Line 240"/>
        <xdr:cNvSpPr>
          <a:spLocks noChangeShapeType="1"/>
        </xdr:cNvSpPr>
      </xdr:nvSpPr>
      <xdr:spPr bwMode="auto">
        <a:xfrm>
          <a:off x="2171700" y="986790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77</xdr:row>
      <xdr:rowOff>0</xdr:rowOff>
    </xdr:from>
    <xdr:to>
      <xdr:col>7</xdr:col>
      <xdr:colOff>0</xdr:colOff>
      <xdr:row>77</xdr:row>
      <xdr:rowOff>0</xdr:rowOff>
    </xdr:to>
    <xdr:sp macro="" textlink="">
      <xdr:nvSpPr>
        <xdr:cNvPr id="242" name="Line 241"/>
        <xdr:cNvSpPr>
          <a:spLocks noChangeShapeType="1"/>
        </xdr:cNvSpPr>
      </xdr:nvSpPr>
      <xdr:spPr bwMode="auto">
        <a:xfrm>
          <a:off x="2533650" y="9867900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77</xdr:row>
      <xdr:rowOff>0</xdr:rowOff>
    </xdr:from>
    <xdr:to>
      <xdr:col>8</xdr:col>
      <xdr:colOff>9525</xdr:colOff>
      <xdr:row>77</xdr:row>
      <xdr:rowOff>0</xdr:rowOff>
    </xdr:to>
    <xdr:sp macro="" textlink="">
      <xdr:nvSpPr>
        <xdr:cNvPr id="243" name="Line 242"/>
        <xdr:cNvSpPr>
          <a:spLocks noChangeShapeType="1"/>
        </xdr:cNvSpPr>
      </xdr:nvSpPr>
      <xdr:spPr bwMode="auto">
        <a:xfrm>
          <a:off x="3028950" y="986790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77</xdr:row>
      <xdr:rowOff>0</xdr:rowOff>
    </xdr:from>
    <xdr:to>
      <xdr:col>9</xdr:col>
      <xdr:colOff>0</xdr:colOff>
      <xdr:row>77</xdr:row>
      <xdr:rowOff>0</xdr:rowOff>
    </xdr:to>
    <xdr:sp macro="" textlink="">
      <xdr:nvSpPr>
        <xdr:cNvPr id="244" name="Line 243"/>
        <xdr:cNvSpPr>
          <a:spLocks noChangeShapeType="1"/>
        </xdr:cNvSpPr>
      </xdr:nvSpPr>
      <xdr:spPr bwMode="auto">
        <a:xfrm>
          <a:off x="3390900" y="9867900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77</xdr:row>
      <xdr:rowOff>0</xdr:rowOff>
    </xdr:from>
    <xdr:to>
      <xdr:col>10</xdr:col>
      <xdr:colOff>9525</xdr:colOff>
      <xdr:row>77</xdr:row>
      <xdr:rowOff>0</xdr:rowOff>
    </xdr:to>
    <xdr:sp macro="" textlink="">
      <xdr:nvSpPr>
        <xdr:cNvPr id="245" name="Line 244"/>
        <xdr:cNvSpPr>
          <a:spLocks noChangeShapeType="1"/>
        </xdr:cNvSpPr>
      </xdr:nvSpPr>
      <xdr:spPr bwMode="auto">
        <a:xfrm>
          <a:off x="4048125" y="986790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77</xdr:row>
      <xdr:rowOff>0</xdr:rowOff>
    </xdr:from>
    <xdr:to>
      <xdr:col>11</xdr:col>
      <xdr:colOff>0</xdr:colOff>
      <xdr:row>77</xdr:row>
      <xdr:rowOff>0</xdr:rowOff>
    </xdr:to>
    <xdr:sp macro="" textlink="">
      <xdr:nvSpPr>
        <xdr:cNvPr id="246" name="Line 245"/>
        <xdr:cNvSpPr>
          <a:spLocks noChangeShapeType="1"/>
        </xdr:cNvSpPr>
      </xdr:nvSpPr>
      <xdr:spPr bwMode="auto">
        <a:xfrm>
          <a:off x="4410075" y="986790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77</xdr:row>
      <xdr:rowOff>0</xdr:rowOff>
    </xdr:from>
    <xdr:to>
      <xdr:col>12</xdr:col>
      <xdr:colOff>9525</xdr:colOff>
      <xdr:row>77</xdr:row>
      <xdr:rowOff>0</xdr:rowOff>
    </xdr:to>
    <xdr:sp macro="" textlink="">
      <xdr:nvSpPr>
        <xdr:cNvPr id="247" name="Line 246"/>
        <xdr:cNvSpPr>
          <a:spLocks noChangeShapeType="1"/>
        </xdr:cNvSpPr>
      </xdr:nvSpPr>
      <xdr:spPr bwMode="auto">
        <a:xfrm>
          <a:off x="5162550" y="9867900"/>
          <a:ext cx="361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77</xdr:row>
      <xdr:rowOff>0</xdr:rowOff>
    </xdr:from>
    <xdr:to>
      <xdr:col>13</xdr:col>
      <xdr:colOff>9525</xdr:colOff>
      <xdr:row>77</xdr:row>
      <xdr:rowOff>0</xdr:rowOff>
    </xdr:to>
    <xdr:sp macro="" textlink="">
      <xdr:nvSpPr>
        <xdr:cNvPr id="248" name="Line 247"/>
        <xdr:cNvSpPr>
          <a:spLocks noChangeShapeType="1"/>
        </xdr:cNvSpPr>
      </xdr:nvSpPr>
      <xdr:spPr bwMode="auto">
        <a:xfrm>
          <a:off x="5524500" y="9867900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15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245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15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245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15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245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19825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16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81800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19825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19825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2</xdr:col>
      <xdr:colOff>9525</xdr:colOff>
      <xdr:row>66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448800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65</xdr:row>
      <xdr:rowOff>0</xdr:rowOff>
    </xdr:from>
    <xdr:to>
      <xdr:col>1</xdr:col>
      <xdr:colOff>0</xdr:colOff>
      <xdr:row>66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448800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65</xdr:row>
      <xdr:rowOff>0</xdr:rowOff>
    </xdr:from>
    <xdr:to>
      <xdr:col>15</xdr:col>
      <xdr:colOff>9525</xdr:colOff>
      <xdr:row>66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448800"/>
          <a:ext cx="57245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9525</xdr:colOff>
      <xdr:row>65</xdr:row>
      <xdr:rowOff>0</xdr:rowOff>
    </xdr:from>
    <xdr:to>
      <xdr:col>16</xdr:col>
      <xdr:colOff>0</xdr:colOff>
      <xdr:row>66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19825" y="9448800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81800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11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19825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0770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11</xdr:row>
      <xdr:rowOff>0</xdr:rowOff>
    </xdr:from>
    <xdr:to>
      <xdr:col>16</xdr:col>
      <xdr:colOff>0</xdr:colOff>
      <xdr:row>62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81800" y="1809750"/>
          <a:ext cx="0" cy="70770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62</xdr:row>
      <xdr:rowOff>0</xdr:rowOff>
    </xdr:from>
    <xdr:to>
      <xdr:col>2</xdr:col>
      <xdr:colOff>9525</xdr:colOff>
      <xdr:row>65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8886825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65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8886825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62</xdr:row>
      <xdr:rowOff>0</xdr:rowOff>
    </xdr:from>
    <xdr:to>
      <xdr:col>2</xdr:col>
      <xdr:colOff>9525</xdr:colOff>
      <xdr:row>62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8886825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62</xdr:row>
      <xdr:rowOff>0</xdr:rowOff>
    </xdr:from>
    <xdr:to>
      <xdr:col>16</xdr:col>
      <xdr:colOff>0</xdr:colOff>
      <xdr:row>65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19825" y="8886825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15</xdr:col>
      <xdr:colOff>9525</xdr:colOff>
      <xdr:row>62</xdr:row>
      <xdr:rowOff>0</xdr:rowOff>
    </xdr:from>
    <xdr:to>
      <xdr:col>15</xdr:col>
      <xdr:colOff>9525</xdr:colOff>
      <xdr:row>65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19825" y="8886825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62</xdr:row>
      <xdr:rowOff>0</xdr:rowOff>
    </xdr:from>
    <xdr:to>
      <xdr:col>16</xdr:col>
      <xdr:colOff>0</xdr:colOff>
      <xdr:row>62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19825" y="88868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5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57275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257300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</xdr:row>
      <xdr:rowOff>0</xdr:rowOff>
    </xdr:from>
    <xdr:to>
      <xdr:col>6</xdr:col>
      <xdr:colOff>9525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009775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209800" y="6572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</xdr:row>
      <xdr:rowOff>0</xdr:rowOff>
    </xdr:from>
    <xdr:to>
      <xdr:col>8</xdr:col>
      <xdr:colOff>9525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2705100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2905125" y="6572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562350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76237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</xdr:row>
      <xdr:rowOff>0</xdr:rowOff>
    </xdr:from>
    <xdr:to>
      <xdr:col>12</xdr:col>
      <xdr:colOff>9525</xdr:colOff>
      <xdr:row>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514850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</xdr:row>
      <xdr:rowOff>0</xdr:rowOff>
    </xdr:from>
    <xdr:to>
      <xdr:col>13</xdr:col>
      <xdr:colOff>0</xdr:colOff>
      <xdr:row>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71487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5</xdr:row>
      <xdr:rowOff>0</xdr:rowOff>
    </xdr:from>
    <xdr:to>
      <xdr:col>14</xdr:col>
      <xdr:colOff>9525</xdr:colOff>
      <xdr:row>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467350" y="657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5</xdr:row>
      <xdr:rowOff>0</xdr:rowOff>
    </xdr:from>
    <xdr:to>
      <xdr:col>15</xdr:col>
      <xdr:colOff>9525</xdr:colOff>
      <xdr:row>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667375" y="657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95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057275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257300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11</xdr:row>
      <xdr:rowOff>0</xdr:rowOff>
    </xdr:from>
    <xdr:to>
      <xdr:col>6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009775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209800" y="1809750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11</xdr:row>
      <xdr:rowOff>0</xdr:rowOff>
    </xdr:from>
    <xdr:to>
      <xdr:col>8</xdr:col>
      <xdr:colOff>9525</xdr:colOff>
      <xdr:row>11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705100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11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2905125" y="1809750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562350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76237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11</xdr:row>
      <xdr:rowOff>0</xdr:rowOff>
    </xdr:from>
    <xdr:to>
      <xdr:col>12</xdr:col>
      <xdr:colOff>9525</xdr:colOff>
      <xdr:row>11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4514850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11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71487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11</xdr:row>
      <xdr:rowOff>0</xdr:rowOff>
    </xdr:from>
    <xdr:to>
      <xdr:col>14</xdr:col>
      <xdr:colOff>9525</xdr:colOff>
      <xdr:row>11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5467350" y="18097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11</xdr:row>
      <xdr:rowOff>0</xdr:rowOff>
    </xdr:from>
    <xdr:to>
      <xdr:col>15</xdr:col>
      <xdr:colOff>9525</xdr:colOff>
      <xdr:row>11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5667375" y="18097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95300" y="2962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1057275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1257300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2009775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2209800" y="29622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2705100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2905125" y="29622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3562350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376237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4514850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21</xdr:row>
      <xdr:rowOff>0</xdr:rowOff>
    </xdr:from>
    <xdr:to>
      <xdr:col>13</xdr:col>
      <xdr:colOff>0</xdr:colOff>
      <xdr:row>21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471487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467350" y="2962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5667375" y="2962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0</xdr:colOff>
      <xdr:row>26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95300" y="36290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057275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0</xdr:colOff>
      <xdr:row>26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257300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009775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209800" y="36290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705100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905125" y="36290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562350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76237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514850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26</xdr:row>
      <xdr:rowOff>0</xdr:rowOff>
    </xdr:from>
    <xdr:to>
      <xdr:col>13</xdr:col>
      <xdr:colOff>0</xdr:colOff>
      <xdr:row>26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71487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467350" y="3629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667375" y="3629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31</xdr:row>
      <xdr:rowOff>0</xdr:rowOff>
    </xdr:from>
    <xdr:to>
      <xdr:col>3</xdr:col>
      <xdr:colOff>0</xdr:colOff>
      <xdr:row>31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95300" y="4295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057275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0</xdr:colOff>
      <xdr:row>31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57300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009775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209800" y="4295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705100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905125" y="42957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562350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76237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514850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0</xdr:colOff>
      <xdr:row>31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71487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467350" y="4295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31</xdr:row>
      <xdr:rowOff>0</xdr:rowOff>
    </xdr:from>
    <xdr:to>
      <xdr:col>15</xdr:col>
      <xdr:colOff>9525</xdr:colOff>
      <xdr:row>31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667375" y="4295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95300" y="49625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057275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257300" y="4962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009775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209800" y="49625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705100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905125" y="49625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562350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762375" y="4962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514850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36</xdr:row>
      <xdr:rowOff>0</xdr:rowOff>
    </xdr:from>
    <xdr:to>
      <xdr:col>13</xdr:col>
      <xdr:colOff>0</xdr:colOff>
      <xdr:row>36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4714875" y="4962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467350" y="49625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5667375" y="49625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95300" y="5629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1057275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1257300" y="5629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009775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0</xdr:colOff>
      <xdr:row>41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2209800" y="56292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2705100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905125" y="56292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3562350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0</xdr:colOff>
      <xdr:row>41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3762375" y="5629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4514850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0</xdr:colOff>
      <xdr:row>41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714875" y="5629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5467350" y="56292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5667375" y="5629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46</xdr:row>
      <xdr:rowOff>0</xdr:rowOff>
    </xdr:from>
    <xdr:to>
      <xdr:col>3</xdr:col>
      <xdr:colOff>0</xdr:colOff>
      <xdr:row>46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95300" y="62960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9525</xdr:colOff>
      <xdr:row>46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1057275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46</xdr:row>
      <xdr:rowOff>0</xdr:rowOff>
    </xdr:from>
    <xdr:to>
      <xdr:col>5</xdr:col>
      <xdr:colOff>0</xdr:colOff>
      <xdr:row>46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1257300" y="6296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46</xdr:row>
      <xdr:rowOff>0</xdr:rowOff>
    </xdr:from>
    <xdr:to>
      <xdr:col>6</xdr:col>
      <xdr:colOff>9525</xdr:colOff>
      <xdr:row>46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2009775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46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2209800" y="62960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46</xdr:row>
      <xdr:rowOff>0</xdr:rowOff>
    </xdr:from>
    <xdr:to>
      <xdr:col>8</xdr:col>
      <xdr:colOff>9525</xdr:colOff>
      <xdr:row>46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2705100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46</xdr:row>
      <xdr:rowOff>0</xdr:rowOff>
    </xdr:from>
    <xdr:to>
      <xdr:col>9</xdr:col>
      <xdr:colOff>0</xdr:colOff>
      <xdr:row>46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2905125" y="62960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46</xdr:row>
      <xdr:rowOff>0</xdr:rowOff>
    </xdr:from>
    <xdr:to>
      <xdr:col>10</xdr:col>
      <xdr:colOff>9525</xdr:colOff>
      <xdr:row>46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3562350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46</xdr:row>
      <xdr:rowOff>0</xdr:rowOff>
    </xdr:from>
    <xdr:to>
      <xdr:col>11</xdr:col>
      <xdr:colOff>0</xdr:colOff>
      <xdr:row>46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3762375" y="6296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46</xdr:row>
      <xdr:rowOff>0</xdr:rowOff>
    </xdr:from>
    <xdr:to>
      <xdr:col>12</xdr:col>
      <xdr:colOff>9525</xdr:colOff>
      <xdr:row>46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4514850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46</xdr:row>
      <xdr:rowOff>0</xdr:rowOff>
    </xdr:from>
    <xdr:to>
      <xdr:col>13</xdr:col>
      <xdr:colOff>0</xdr:colOff>
      <xdr:row>46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4714875" y="6296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5467350" y="62960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5667375" y="6296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51</xdr:row>
      <xdr:rowOff>0</xdr:rowOff>
    </xdr:from>
    <xdr:to>
      <xdr:col>3</xdr:col>
      <xdr:colOff>0</xdr:colOff>
      <xdr:row>51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95300" y="6962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51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1057275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51</xdr:row>
      <xdr:rowOff>0</xdr:rowOff>
    </xdr:from>
    <xdr:to>
      <xdr:col>5</xdr:col>
      <xdr:colOff>0</xdr:colOff>
      <xdr:row>51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1257300" y="696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51</xdr:row>
      <xdr:rowOff>0</xdr:rowOff>
    </xdr:from>
    <xdr:to>
      <xdr:col>6</xdr:col>
      <xdr:colOff>9525</xdr:colOff>
      <xdr:row>51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2009775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51</xdr:row>
      <xdr:rowOff>0</xdr:rowOff>
    </xdr:from>
    <xdr:to>
      <xdr:col>7</xdr:col>
      <xdr:colOff>0</xdr:colOff>
      <xdr:row>51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2209800" y="6962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51</xdr:row>
      <xdr:rowOff>0</xdr:rowOff>
    </xdr:from>
    <xdr:to>
      <xdr:col>8</xdr:col>
      <xdr:colOff>9525</xdr:colOff>
      <xdr:row>51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2705100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51</xdr:row>
      <xdr:rowOff>0</xdr:rowOff>
    </xdr:from>
    <xdr:to>
      <xdr:col>9</xdr:col>
      <xdr:colOff>0</xdr:colOff>
      <xdr:row>51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2905125" y="696277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51</xdr:row>
      <xdr:rowOff>0</xdr:rowOff>
    </xdr:from>
    <xdr:to>
      <xdr:col>10</xdr:col>
      <xdr:colOff>9525</xdr:colOff>
      <xdr:row>51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3562350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51</xdr:row>
      <xdr:rowOff>0</xdr:rowOff>
    </xdr:from>
    <xdr:to>
      <xdr:col>11</xdr:col>
      <xdr:colOff>0</xdr:colOff>
      <xdr:row>51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3762375" y="696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51</xdr:row>
      <xdr:rowOff>0</xdr:rowOff>
    </xdr:from>
    <xdr:to>
      <xdr:col>12</xdr:col>
      <xdr:colOff>9525</xdr:colOff>
      <xdr:row>51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4514850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51</xdr:row>
      <xdr:rowOff>0</xdr:rowOff>
    </xdr:from>
    <xdr:to>
      <xdr:col>13</xdr:col>
      <xdr:colOff>0</xdr:colOff>
      <xdr:row>51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4714875" y="696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51</xdr:row>
      <xdr:rowOff>0</xdr:rowOff>
    </xdr:from>
    <xdr:to>
      <xdr:col>14</xdr:col>
      <xdr:colOff>9525</xdr:colOff>
      <xdr:row>51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5467350" y="696277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51</xdr:row>
      <xdr:rowOff>0</xdr:rowOff>
    </xdr:from>
    <xdr:to>
      <xdr:col>15</xdr:col>
      <xdr:colOff>9525</xdr:colOff>
      <xdr:row>51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5667375" y="6962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57</xdr:row>
      <xdr:rowOff>0</xdr:rowOff>
    </xdr:from>
    <xdr:to>
      <xdr:col>3</xdr:col>
      <xdr:colOff>0</xdr:colOff>
      <xdr:row>57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95300" y="7515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57</xdr:row>
      <xdr:rowOff>0</xdr:rowOff>
    </xdr:from>
    <xdr:to>
      <xdr:col>4</xdr:col>
      <xdr:colOff>9525</xdr:colOff>
      <xdr:row>57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1057275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57</xdr:row>
      <xdr:rowOff>0</xdr:rowOff>
    </xdr:from>
    <xdr:to>
      <xdr:col>5</xdr:col>
      <xdr:colOff>0</xdr:colOff>
      <xdr:row>57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1257300" y="7515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57</xdr:row>
      <xdr:rowOff>0</xdr:rowOff>
    </xdr:from>
    <xdr:to>
      <xdr:col>6</xdr:col>
      <xdr:colOff>9525</xdr:colOff>
      <xdr:row>57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009775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57</xdr:row>
      <xdr:rowOff>0</xdr:rowOff>
    </xdr:from>
    <xdr:to>
      <xdr:col>7</xdr:col>
      <xdr:colOff>0</xdr:colOff>
      <xdr:row>57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209800" y="75152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57</xdr:row>
      <xdr:rowOff>0</xdr:rowOff>
    </xdr:from>
    <xdr:to>
      <xdr:col>8</xdr:col>
      <xdr:colOff>9525</xdr:colOff>
      <xdr:row>57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2705100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57</xdr:row>
      <xdr:rowOff>0</xdr:rowOff>
    </xdr:from>
    <xdr:to>
      <xdr:col>9</xdr:col>
      <xdr:colOff>0</xdr:colOff>
      <xdr:row>57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2905125" y="75152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57</xdr:row>
      <xdr:rowOff>0</xdr:rowOff>
    </xdr:from>
    <xdr:to>
      <xdr:col>10</xdr:col>
      <xdr:colOff>9525</xdr:colOff>
      <xdr:row>57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562350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57</xdr:row>
      <xdr:rowOff>0</xdr:rowOff>
    </xdr:from>
    <xdr:to>
      <xdr:col>11</xdr:col>
      <xdr:colOff>0</xdr:colOff>
      <xdr:row>57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762375" y="7515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57</xdr:row>
      <xdr:rowOff>0</xdr:rowOff>
    </xdr:from>
    <xdr:to>
      <xdr:col>12</xdr:col>
      <xdr:colOff>9525</xdr:colOff>
      <xdr:row>57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514850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57</xdr:row>
      <xdr:rowOff>0</xdr:rowOff>
    </xdr:from>
    <xdr:to>
      <xdr:col>13</xdr:col>
      <xdr:colOff>0</xdr:colOff>
      <xdr:row>57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714875" y="7515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57</xdr:row>
      <xdr:rowOff>0</xdr:rowOff>
    </xdr:from>
    <xdr:to>
      <xdr:col>14</xdr:col>
      <xdr:colOff>9525</xdr:colOff>
      <xdr:row>57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467350" y="75152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57</xdr:row>
      <xdr:rowOff>0</xdr:rowOff>
    </xdr:from>
    <xdr:to>
      <xdr:col>15</xdr:col>
      <xdr:colOff>9525</xdr:colOff>
      <xdr:row>57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667375" y="7515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62</xdr:row>
      <xdr:rowOff>0</xdr:rowOff>
    </xdr:from>
    <xdr:to>
      <xdr:col>3</xdr:col>
      <xdr:colOff>0</xdr:colOff>
      <xdr:row>62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495300" y="88868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62</xdr:row>
      <xdr:rowOff>0</xdr:rowOff>
    </xdr:from>
    <xdr:to>
      <xdr:col>4</xdr:col>
      <xdr:colOff>9525</xdr:colOff>
      <xdr:row>62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057275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62</xdr:row>
      <xdr:rowOff>0</xdr:rowOff>
    </xdr:from>
    <xdr:to>
      <xdr:col>5</xdr:col>
      <xdr:colOff>0</xdr:colOff>
      <xdr:row>62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257300" y="88868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62</xdr:row>
      <xdr:rowOff>0</xdr:rowOff>
    </xdr:from>
    <xdr:to>
      <xdr:col>6</xdr:col>
      <xdr:colOff>9525</xdr:colOff>
      <xdr:row>62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009775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62</xdr:row>
      <xdr:rowOff>0</xdr:rowOff>
    </xdr:from>
    <xdr:to>
      <xdr:col>7</xdr:col>
      <xdr:colOff>0</xdr:colOff>
      <xdr:row>62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209800" y="88868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62</xdr:row>
      <xdr:rowOff>0</xdr:rowOff>
    </xdr:from>
    <xdr:to>
      <xdr:col>8</xdr:col>
      <xdr:colOff>9525</xdr:colOff>
      <xdr:row>62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705100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62</xdr:row>
      <xdr:rowOff>0</xdr:rowOff>
    </xdr:from>
    <xdr:to>
      <xdr:col>9</xdr:col>
      <xdr:colOff>0</xdr:colOff>
      <xdr:row>62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2905125" y="8886825"/>
          <a:ext cx="657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62</xdr:row>
      <xdr:rowOff>0</xdr:rowOff>
    </xdr:from>
    <xdr:to>
      <xdr:col>10</xdr:col>
      <xdr:colOff>9525</xdr:colOff>
      <xdr:row>62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562350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62</xdr:row>
      <xdr:rowOff>0</xdr:rowOff>
    </xdr:from>
    <xdr:to>
      <xdr:col>11</xdr:col>
      <xdr:colOff>0</xdr:colOff>
      <xdr:row>62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762375" y="88868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62</xdr:row>
      <xdr:rowOff>0</xdr:rowOff>
    </xdr:from>
    <xdr:to>
      <xdr:col>12</xdr:col>
      <xdr:colOff>9525</xdr:colOff>
      <xdr:row>62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514850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62</xdr:row>
      <xdr:rowOff>0</xdr:rowOff>
    </xdr:from>
    <xdr:to>
      <xdr:col>13</xdr:col>
      <xdr:colOff>0</xdr:colOff>
      <xdr:row>62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4714875" y="88868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62</xdr:row>
      <xdr:rowOff>0</xdr:rowOff>
    </xdr:from>
    <xdr:to>
      <xdr:col>14</xdr:col>
      <xdr:colOff>9525</xdr:colOff>
      <xdr:row>62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467350" y="8886825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62</xdr:row>
      <xdr:rowOff>0</xdr:rowOff>
    </xdr:from>
    <xdr:to>
      <xdr:col>15</xdr:col>
      <xdr:colOff>9525</xdr:colOff>
      <xdr:row>62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667375" y="88868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15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054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</xdr:row>
      <xdr:rowOff>0</xdr:rowOff>
    </xdr:from>
    <xdr:to>
      <xdr:col>15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15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00775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16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62750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00775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00775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52</xdr:row>
      <xdr:rowOff>0</xdr:rowOff>
    </xdr:from>
    <xdr:to>
      <xdr:col>2</xdr:col>
      <xdr:colOff>9525</xdr:colOff>
      <xdr:row>53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505950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52</xdr:row>
      <xdr:rowOff>0</xdr:rowOff>
    </xdr:from>
    <xdr:to>
      <xdr:col>1</xdr:col>
      <xdr:colOff>0</xdr:colOff>
      <xdr:row>53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505950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52</xdr:row>
      <xdr:rowOff>0</xdr:rowOff>
    </xdr:from>
    <xdr:to>
      <xdr:col>15</xdr:col>
      <xdr:colOff>9525</xdr:colOff>
      <xdr:row>53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505950"/>
          <a:ext cx="57054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15</xdr:col>
      <xdr:colOff>9525</xdr:colOff>
      <xdr:row>52</xdr:row>
      <xdr:rowOff>0</xdr:rowOff>
    </xdr:from>
    <xdr:to>
      <xdr:col>16</xdr:col>
      <xdr:colOff>0</xdr:colOff>
      <xdr:row>53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00775" y="9505950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62750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11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00775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134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11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62750" y="1809750"/>
          <a:ext cx="0" cy="7134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49</xdr:row>
      <xdr:rowOff>0</xdr:rowOff>
    </xdr:from>
    <xdr:to>
      <xdr:col>2</xdr:col>
      <xdr:colOff>9525</xdr:colOff>
      <xdr:row>52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8943975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49</xdr:row>
      <xdr:rowOff>0</xdr:rowOff>
    </xdr:from>
    <xdr:to>
      <xdr:col>1</xdr:col>
      <xdr:colOff>0</xdr:colOff>
      <xdr:row>52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8943975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49</xdr:row>
      <xdr:rowOff>0</xdr:rowOff>
    </xdr:from>
    <xdr:to>
      <xdr:col>2</xdr:col>
      <xdr:colOff>9525</xdr:colOff>
      <xdr:row>49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8943975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0</xdr:colOff>
      <xdr:row>52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00775" y="8943975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15</xdr:col>
      <xdr:colOff>9525</xdr:colOff>
      <xdr:row>52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00775" y="8943975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00775" y="89439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57275" y="6572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285875" y="6572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</xdr:row>
      <xdr:rowOff>0</xdr:rowOff>
    </xdr:from>
    <xdr:to>
      <xdr:col>6</xdr:col>
      <xdr:colOff>9525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085975" y="6572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314575" y="6572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2809875" y="6572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028950" y="6572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457575" y="6572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68617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</xdr:row>
      <xdr:rowOff>0</xdr:rowOff>
    </xdr:from>
    <xdr:to>
      <xdr:col>12</xdr:col>
      <xdr:colOff>9525</xdr:colOff>
      <xdr:row>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438650" y="6572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</xdr:row>
      <xdr:rowOff>0</xdr:rowOff>
    </xdr:from>
    <xdr:to>
      <xdr:col>13</xdr:col>
      <xdr:colOff>0</xdr:colOff>
      <xdr:row>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4667250" y="6572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5</xdr:row>
      <xdr:rowOff>0</xdr:rowOff>
    </xdr:from>
    <xdr:to>
      <xdr:col>14</xdr:col>
      <xdr:colOff>9525</xdr:colOff>
      <xdr:row>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210175" y="6572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5</xdr:row>
      <xdr:rowOff>0</xdr:rowOff>
    </xdr:from>
    <xdr:to>
      <xdr:col>15</xdr:col>
      <xdr:colOff>9525</xdr:colOff>
      <xdr:row>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5438775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95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1057275" y="1809750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1285875" y="1809750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11</xdr:row>
      <xdr:rowOff>0</xdr:rowOff>
    </xdr:from>
    <xdr:to>
      <xdr:col>6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085975" y="1809750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2314575" y="1809750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2809875" y="1809750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3028950" y="1809750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3457575" y="1809750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368617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11</xdr:row>
      <xdr:rowOff>0</xdr:rowOff>
    </xdr:from>
    <xdr:to>
      <xdr:col>12</xdr:col>
      <xdr:colOff>9525</xdr:colOff>
      <xdr:row>11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4438650" y="1809750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11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4667250" y="1809750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11</xdr:row>
      <xdr:rowOff>0</xdr:rowOff>
    </xdr:from>
    <xdr:to>
      <xdr:col>14</xdr:col>
      <xdr:colOff>9525</xdr:colOff>
      <xdr:row>11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5210175" y="1809750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11</xdr:row>
      <xdr:rowOff>0</xdr:rowOff>
    </xdr:from>
    <xdr:to>
      <xdr:col>15</xdr:col>
      <xdr:colOff>9525</xdr:colOff>
      <xdr:row>11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5438775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95300" y="2962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1057275" y="29622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1285875" y="29622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2085975" y="29622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2314575" y="29622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2809875" y="29622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028950" y="29622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3457575" y="29622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368617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4438650" y="29622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21</xdr:row>
      <xdr:rowOff>0</xdr:rowOff>
    </xdr:from>
    <xdr:to>
      <xdr:col>13</xdr:col>
      <xdr:colOff>0</xdr:colOff>
      <xdr:row>21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4667250" y="29622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210175" y="29622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5438775" y="2962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27</xdr:row>
      <xdr:rowOff>0</xdr:rowOff>
    </xdr:from>
    <xdr:to>
      <xdr:col>3</xdr:col>
      <xdr:colOff>0</xdr:colOff>
      <xdr:row>27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95300" y="35147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27</xdr:row>
      <xdr:rowOff>0</xdr:rowOff>
    </xdr:from>
    <xdr:to>
      <xdr:col>4</xdr:col>
      <xdr:colOff>9525</xdr:colOff>
      <xdr:row>27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1057275" y="3514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27</xdr:row>
      <xdr:rowOff>0</xdr:rowOff>
    </xdr:from>
    <xdr:to>
      <xdr:col>5</xdr:col>
      <xdr:colOff>0</xdr:colOff>
      <xdr:row>27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1285875" y="35147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27</xdr:row>
      <xdr:rowOff>0</xdr:rowOff>
    </xdr:from>
    <xdr:to>
      <xdr:col>6</xdr:col>
      <xdr:colOff>9525</xdr:colOff>
      <xdr:row>27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085975" y="3514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27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314575" y="35147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809875" y="35147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028950" y="35147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27</xdr:row>
      <xdr:rowOff>0</xdr:rowOff>
    </xdr:from>
    <xdr:to>
      <xdr:col>10</xdr:col>
      <xdr:colOff>9525</xdr:colOff>
      <xdr:row>27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457575" y="3514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686175" y="35147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27</xdr:row>
      <xdr:rowOff>0</xdr:rowOff>
    </xdr:from>
    <xdr:to>
      <xdr:col>12</xdr:col>
      <xdr:colOff>9525</xdr:colOff>
      <xdr:row>27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438650" y="3514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27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667250" y="35147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27</xdr:row>
      <xdr:rowOff>0</xdr:rowOff>
    </xdr:from>
    <xdr:to>
      <xdr:col>14</xdr:col>
      <xdr:colOff>9525</xdr:colOff>
      <xdr:row>27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210175" y="3514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27</xdr:row>
      <xdr:rowOff>0</xdr:rowOff>
    </xdr:from>
    <xdr:to>
      <xdr:col>15</xdr:col>
      <xdr:colOff>9525</xdr:colOff>
      <xdr:row>27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438775" y="35147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33</xdr:row>
      <xdr:rowOff>0</xdr:rowOff>
    </xdr:from>
    <xdr:to>
      <xdr:col>3</xdr:col>
      <xdr:colOff>0</xdr:colOff>
      <xdr:row>33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95300" y="42195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33</xdr:row>
      <xdr:rowOff>0</xdr:rowOff>
    </xdr:from>
    <xdr:to>
      <xdr:col>4</xdr:col>
      <xdr:colOff>9525</xdr:colOff>
      <xdr:row>33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057275" y="42195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33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85875" y="42195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33</xdr:row>
      <xdr:rowOff>0</xdr:rowOff>
    </xdr:from>
    <xdr:to>
      <xdr:col>6</xdr:col>
      <xdr:colOff>9525</xdr:colOff>
      <xdr:row>33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085975" y="42195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33</xdr:row>
      <xdr:rowOff>0</xdr:rowOff>
    </xdr:from>
    <xdr:to>
      <xdr:col>7</xdr:col>
      <xdr:colOff>0</xdr:colOff>
      <xdr:row>33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314575" y="42195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809875" y="42195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33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3028950" y="42195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33</xdr:row>
      <xdr:rowOff>0</xdr:rowOff>
    </xdr:from>
    <xdr:to>
      <xdr:col>10</xdr:col>
      <xdr:colOff>9525</xdr:colOff>
      <xdr:row>33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457575" y="42195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33</xdr:row>
      <xdr:rowOff>0</xdr:rowOff>
    </xdr:from>
    <xdr:to>
      <xdr:col>11</xdr:col>
      <xdr:colOff>0</xdr:colOff>
      <xdr:row>33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686175" y="42195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33</xdr:row>
      <xdr:rowOff>0</xdr:rowOff>
    </xdr:from>
    <xdr:to>
      <xdr:col>12</xdr:col>
      <xdr:colOff>9525</xdr:colOff>
      <xdr:row>33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438650" y="42195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33</xdr:row>
      <xdr:rowOff>0</xdr:rowOff>
    </xdr:from>
    <xdr:to>
      <xdr:col>13</xdr:col>
      <xdr:colOff>0</xdr:colOff>
      <xdr:row>33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667250" y="42195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33</xdr:row>
      <xdr:rowOff>0</xdr:rowOff>
    </xdr:from>
    <xdr:to>
      <xdr:col>14</xdr:col>
      <xdr:colOff>9525</xdr:colOff>
      <xdr:row>33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210175" y="42195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438775" y="42195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95300" y="4352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9525</xdr:colOff>
      <xdr:row>34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057275" y="43529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34</xdr:row>
      <xdr:rowOff>0</xdr:rowOff>
    </xdr:from>
    <xdr:to>
      <xdr:col>5</xdr:col>
      <xdr:colOff>0</xdr:colOff>
      <xdr:row>34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285875" y="43529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34</xdr:row>
      <xdr:rowOff>0</xdr:rowOff>
    </xdr:from>
    <xdr:to>
      <xdr:col>6</xdr:col>
      <xdr:colOff>9525</xdr:colOff>
      <xdr:row>34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085975" y="43529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314575" y="43529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809875" y="43529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028950" y="43529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34</xdr:row>
      <xdr:rowOff>0</xdr:rowOff>
    </xdr:from>
    <xdr:to>
      <xdr:col>10</xdr:col>
      <xdr:colOff>9525</xdr:colOff>
      <xdr:row>34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457575" y="43529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34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686175" y="4352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34</xdr:row>
      <xdr:rowOff>0</xdr:rowOff>
    </xdr:from>
    <xdr:to>
      <xdr:col>12</xdr:col>
      <xdr:colOff>9525</xdr:colOff>
      <xdr:row>34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438650" y="43529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34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4667250" y="43529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34</xdr:row>
      <xdr:rowOff>0</xdr:rowOff>
    </xdr:from>
    <xdr:to>
      <xdr:col>14</xdr:col>
      <xdr:colOff>9525</xdr:colOff>
      <xdr:row>34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210175" y="43529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5438775" y="43529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36</xdr:row>
      <xdr:rowOff>0</xdr:rowOff>
    </xdr:from>
    <xdr:to>
      <xdr:col>3</xdr:col>
      <xdr:colOff>0</xdr:colOff>
      <xdr:row>36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95300" y="46196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1057275" y="46196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1285875" y="46196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085975" y="46196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2314575" y="46196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2809875" y="46196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3028950" y="46196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3457575" y="46196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0</xdr:colOff>
      <xdr:row>36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3686175" y="46196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36</xdr:row>
      <xdr:rowOff>0</xdr:rowOff>
    </xdr:from>
    <xdr:to>
      <xdr:col>12</xdr:col>
      <xdr:colOff>9525</xdr:colOff>
      <xdr:row>36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4438650" y="46196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36</xdr:row>
      <xdr:rowOff>0</xdr:rowOff>
    </xdr:from>
    <xdr:to>
      <xdr:col>13</xdr:col>
      <xdr:colOff>0</xdr:colOff>
      <xdr:row>36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667250" y="46196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5210175" y="46196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5438775" y="46196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37</xdr:row>
      <xdr:rowOff>0</xdr:rowOff>
    </xdr:from>
    <xdr:to>
      <xdr:col>3</xdr:col>
      <xdr:colOff>0</xdr:colOff>
      <xdr:row>37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95300" y="47529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1057275" y="4752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37</xdr:row>
      <xdr:rowOff>0</xdr:rowOff>
    </xdr:from>
    <xdr:to>
      <xdr:col>5</xdr:col>
      <xdr:colOff>0</xdr:colOff>
      <xdr:row>37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1285875" y="47529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2085975" y="4752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2314575" y="47529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2809875" y="47529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3028950" y="47529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3457575" y="4752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0</xdr:colOff>
      <xdr:row>37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3686175" y="47529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4438650" y="4752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0</xdr:colOff>
      <xdr:row>37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4667250" y="47529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37</xdr:row>
      <xdr:rowOff>0</xdr:rowOff>
    </xdr:from>
    <xdr:to>
      <xdr:col>14</xdr:col>
      <xdr:colOff>9525</xdr:colOff>
      <xdr:row>37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5210175" y="4752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5438775" y="47529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39</xdr:row>
      <xdr:rowOff>0</xdr:rowOff>
    </xdr:from>
    <xdr:to>
      <xdr:col>3</xdr:col>
      <xdr:colOff>0</xdr:colOff>
      <xdr:row>39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95300" y="50196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39</xdr:row>
      <xdr:rowOff>0</xdr:rowOff>
    </xdr:from>
    <xdr:to>
      <xdr:col>4</xdr:col>
      <xdr:colOff>9525</xdr:colOff>
      <xdr:row>39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1057275" y="50196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39</xdr:row>
      <xdr:rowOff>0</xdr:rowOff>
    </xdr:from>
    <xdr:to>
      <xdr:col>5</xdr:col>
      <xdr:colOff>0</xdr:colOff>
      <xdr:row>39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1285875" y="50196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39</xdr:row>
      <xdr:rowOff>0</xdr:rowOff>
    </xdr:from>
    <xdr:to>
      <xdr:col>6</xdr:col>
      <xdr:colOff>9525</xdr:colOff>
      <xdr:row>39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2085975" y="50196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39</xdr:row>
      <xdr:rowOff>0</xdr:rowOff>
    </xdr:from>
    <xdr:to>
      <xdr:col>7</xdr:col>
      <xdr:colOff>0</xdr:colOff>
      <xdr:row>39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2314575" y="50196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2809875" y="50196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3028950" y="50196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39</xdr:row>
      <xdr:rowOff>0</xdr:rowOff>
    </xdr:from>
    <xdr:to>
      <xdr:col>10</xdr:col>
      <xdr:colOff>9525</xdr:colOff>
      <xdr:row>39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3457575" y="50196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39</xdr:row>
      <xdr:rowOff>0</xdr:rowOff>
    </xdr:from>
    <xdr:to>
      <xdr:col>11</xdr:col>
      <xdr:colOff>0</xdr:colOff>
      <xdr:row>39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3686175" y="50196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39</xdr:row>
      <xdr:rowOff>0</xdr:rowOff>
    </xdr:from>
    <xdr:to>
      <xdr:col>12</xdr:col>
      <xdr:colOff>9525</xdr:colOff>
      <xdr:row>39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4438650" y="50196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39</xdr:row>
      <xdr:rowOff>0</xdr:rowOff>
    </xdr:from>
    <xdr:to>
      <xdr:col>13</xdr:col>
      <xdr:colOff>0</xdr:colOff>
      <xdr:row>39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4667250" y="50196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5210175" y="50196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5438775" y="50196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95300" y="52863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1057275" y="52863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1285875" y="52863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2085975" y="52863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0</xdr:colOff>
      <xdr:row>41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2314575" y="52863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2809875" y="52863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3028950" y="52863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3457575" y="52863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0</xdr:colOff>
      <xdr:row>41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686175" y="52863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41</xdr:row>
      <xdr:rowOff>0</xdr:rowOff>
    </xdr:from>
    <xdr:to>
      <xdr:col>12</xdr:col>
      <xdr:colOff>9525</xdr:colOff>
      <xdr:row>41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4438650" y="52863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41</xdr:row>
      <xdr:rowOff>0</xdr:rowOff>
    </xdr:from>
    <xdr:to>
      <xdr:col>13</xdr:col>
      <xdr:colOff>0</xdr:colOff>
      <xdr:row>41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4667250" y="52863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5210175" y="52863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438775" y="52863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42</xdr:row>
      <xdr:rowOff>0</xdr:rowOff>
    </xdr:from>
    <xdr:to>
      <xdr:col>3</xdr:col>
      <xdr:colOff>0</xdr:colOff>
      <xdr:row>42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495300" y="54197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9525</xdr:colOff>
      <xdr:row>42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1057275" y="5419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42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285875" y="54197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42</xdr:row>
      <xdr:rowOff>0</xdr:rowOff>
    </xdr:from>
    <xdr:to>
      <xdr:col>6</xdr:col>
      <xdr:colOff>9525</xdr:colOff>
      <xdr:row>42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085975" y="5419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314575" y="54197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809875" y="54197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42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028950" y="54197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42</xdr:row>
      <xdr:rowOff>0</xdr:rowOff>
    </xdr:from>
    <xdr:to>
      <xdr:col>10</xdr:col>
      <xdr:colOff>9525</xdr:colOff>
      <xdr:row>42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457575" y="5419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42</xdr:row>
      <xdr:rowOff>0</xdr:rowOff>
    </xdr:from>
    <xdr:to>
      <xdr:col>11</xdr:col>
      <xdr:colOff>0</xdr:colOff>
      <xdr:row>42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686175" y="54197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42</xdr:row>
      <xdr:rowOff>0</xdr:rowOff>
    </xdr:from>
    <xdr:to>
      <xdr:col>12</xdr:col>
      <xdr:colOff>9525</xdr:colOff>
      <xdr:row>42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438650" y="5419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42</xdr:row>
      <xdr:rowOff>0</xdr:rowOff>
    </xdr:from>
    <xdr:to>
      <xdr:col>13</xdr:col>
      <xdr:colOff>0</xdr:colOff>
      <xdr:row>42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4667250" y="54197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210175" y="54197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438775" y="54197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43</xdr:row>
      <xdr:rowOff>0</xdr:rowOff>
    </xdr:from>
    <xdr:to>
      <xdr:col>3</xdr:col>
      <xdr:colOff>0</xdr:colOff>
      <xdr:row>43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495300" y="55530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43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1057275" y="55530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43</xdr:row>
      <xdr:rowOff>0</xdr:rowOff>
    </xdr:from>
    <xdr:to>
      <xdr:col>5</xdr:col>
      <xdr:colOff>0</xdr:colOff>
      <xdr:row>43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1285875" y="55530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43</xdr:row>
      <xdr:rowOff>0</xdr:rowOff>
    </xdr:from>
    <xdr:to>
      <xdr:col>6</xdr:col>
      <xdr:colOff>9525</xdr:colOff>
      <xdr:row>43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2085975" y="55530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43</xdr:row>
      <xdr:rowOff>0</xdr:rowOff>
    </xdr:from>
    <xdr:to>
      <xdr:col>7</xdr:col>
      <xdr:colOff>0</xdr:colOff>
      <xdr:row>43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2314575" y="55530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2809875" y="55530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3028950" y="55530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9525</xdr:colOff>
      <xdr:row>43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3457575" y="55530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43</xdr:row>
      <xdr:rowOff>0</xdr:rowOff>
    </xdr:from>
    <xdr:to>
      <xdr:col>11</xdr:col>
      <xdr:colOff>0</xdr:colOff>
      <xdr:row>43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3686175" y="55530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43</xdr:row>
      <xdr:rowOff>0</xdr:rowOff>
    </xdr:from>
    <xdr:to>
      <xdr:col>12</xdr:col>
      <xdr:colOff>9525</xdr:colOff>
      <xdr:row>43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4438650" y="55530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43</xdr:row>
      <xdr:rowOff>0</xdr:rowOff>
    </xdr:from>
    <xdr:to>
      <xdr:col>13</xdr:col>
      <xdr:colOff>0</xdr:colOff>
      <xdr:row>43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4667250" y="55530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5210175" y="55530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5438775" y="55530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45</xdr:row>
      <xdr:rowOff>0</xdr:rowOff>
    </xdr:from>
    <xdr:to>
      <xdr:col>3</xdr:col>
      <xdr:colOff>0</xdr:colOff>
      <xdr:row>45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495300" y="5819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9525</xdr:colOff>
      <xdr:row>45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1057275" y="58197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45</xdr:row>
      <xdr:rowOff>0</xdr:rowOff>
    </xdr:from>
    <xdr:to>
      <xdr:col>5</xdr:col>
      <xdr:colOff>0</xdr:colOff>
      <xdr:row>45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1285875" y="58197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45</xdr:row>
      <xdr:rowOff>0</xdr:rowOff>
    </xdr:from>
    <xdr:to>
      <xdr:col>6</xdr:col>
      <xdr:colOff>9525</xdr:colOff>
      <xdr:row>45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2085975" y="58197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45</xdr:row>
      <xdr:rowOff>0</xdr:rowOff>
    </xdr:from>
    <xdr:to>
      <xdr:col>7</xdr:col>
      <xdr:colOff>0</xdr:colOff>
      <xdr:row>45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2314575" y="58197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2809875" y="58197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3028950" y="58197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9525</xdr:colOff>
      <xdr:row>45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3457575" y="58197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45</xdr:row>
      <xdr:rowOff>0</xdr:rowOff>
    </xdr:from>
    <xdr:to>
      <xdr:col>11</xdr:col>
      <xdr:colOff>0</xdr:colOff>
      <xdr:row>45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3686175" y="5819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45</xdr:row>
      <xdr:rowOff>0</xdr:rowOff>
    </xdr:from>
    <xdr:to>
      <xdr:col>12</xdr:col>
      <xdr:colOff>9525</xdr:colOff>
      <xdr:row>45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4438650" y="58197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45</xdr:row>
      <xdr:rowOff>0</xdr:rowOff>
    </xdr:from>
    <xdr:to>
      <xdr:col>13</xdr:col>
      <xdr:colOff>0</xdr:colOff>
      <xdr:row>45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4667250" y="58197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5210175" y="58197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5438775" y="5819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46</xdr:row>
      <xdr:rowOff>0</xdr:rowOff>
    </xdr:from>
    <xdr:to>
      <xdr:col>3</xdr:col>
      <xdr:colOff>0</xdr:colOff>
      <xdr:row>46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495300" y="59531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9525</xdr:colOff>
      <xdr:row>46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1057275" y="59531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46</xdr:row>
      <xdr:rowOff>0</xdr:rowOff>
    </xdr:from>
    <xdr:to>
      <xdr:col>5</xdr:col>
      <xdr:colOff>0</xdr:colOff>
      <xdr:row>46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1285875" y="595312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46</xdr:row>
      <xdr:rowOff>0</xdr:rowOff>
    </xdr:from>
    <xdr:to>
      <xdr:col>6</xdr:col>
      <xdr:colOff>9525</xdr:colOff>
      <xdr:row>46</xdr:row>
      <xdr:rowOff>0</xdr:rowOff>
    </xdr:to>
    <xdr:sp macro="" textlink="">
      <xdr:nvSpPr>
        <xdr:cNvPr id="201" name="Line 200"/>
        <xdr:cNvSpPr>
          <a:spLocks noChangeShapeType="1"/>
        </xdr:cNvSpPr>
      </xdr:nvSpPr>
      <xdr:spPr bwMode="auto">
        <a:xfrm>
          <a:off x="2085975" y="59531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46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02" name="Line 201"/>
        <xdr:cNvSpPr>
          <a:spLocks noChangeShapeType="1"/>
        </xdr:cNvSpPr>
      </xdr:nvSpPr>
      <xdr:spPr bwMode="auto">
        <a:xfrm>
          <a:off x="2314575" y="595312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203" name="Line 202"/>
        <xdr:cNvSpPr>
          <a:spLocks noChangeShapeType="1"/>
        </xdr:cNvSpPr>
      </xdr:nvSpPr>
      <xdr:spPr bwMode="auto">
        <a:xfrm>
          <a:off x="2809875" y="595312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0</xdr:colOff>
      <xdr:row>46</xdr:row>
      <xdr:rowOff>0</xdr:rowOff>
    </xdr:to>
    <xdr:sp macro="" textlink="">
      <xdr:nvSpPr>
        <xdr:cNvPr id="204" name="Line 203"/>
        <xdr:cNvSpPr>
          <a:spLocks noChangeShapeType="1"/>
        </xdr:cNvSpPr>
      </xdr:nvSpPr>
      <xdr:spPr bwMode="auto">
        <a:xfrm>
          <a:off x="3028950" y="595312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46</xdr:row>
      <xdr:rowOff>0</xdr:rowOff>
    </xdr:from>
    <xdr:to>
      <xdr:col>10</xdr:col>
      <xdr:colOff>9525</xdr:colOff>
      <xdr:row>46</xdr:row>
      <xdr:rowOff>0</xdr:rowOff>
    </xdr:to>
    <xdr:sp macro="" textlink="">
      <xdr:nvSpPr>
        <xdr:cNvPr id="205" name="Line 204"/>
        <xdr:cNvSpPr>
          <a:spLocks noChangeShapeType="1"/>
        </xdr:cNvSpPr>
      </xdr:nvSpPr>
      <xdr:spPr bwMode="auto">
        <a:xfrm>
          <a:off x="3457575" y="59531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46</xdr:row>
      <xdr:rowOff>0</xdr:rowOff>
    </xdr:from>
    <xdr:to>
      <xdr:col>11</xdr:col>
      <xdr:colOff>0</xdr:colOff>
      <xdr:row>46</xdr:row>
      <xdr:rowOff>0</xdr:rowOff>
    </xdr:to>
    <xdr:sp macro="" textlink="">
      <xdr:nvSpPr>
        <xdr:cNvPr id="206" name="Line 205"/>
        <xdr:cNvSpPr>
          <a:spLocks noChangeShapeType="1"/>
        </xdr:cNvSpPr>
      </xdr:nvSpPr>
      <xdr:spPr bwMode="auto">
        <a:xfrm>
          <a:off x="3686175" y="59531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46</xdr:row>
      <xdr:rowOff>0</xdr:rowOff>
    </xdr:from>
    <xdr:to>
      <xdr:col>12</xdr:col>
      <xdr:colOff>9525</xdr:colOff>
      <xdr:row>46</xdr:row>
      <xdr:rowOff>0</xdr:rowOff>
    </xdr:to>
    <xdr:sp macro="" textlink="">
      <xdr:nvSpPr>
        <xdr:cNvPr id="207" name="Line 206"/>
        <xdr:cNvSpPr>
          <a:spLocks noChangeShapeType="1"/>
        </xdr:cNvSpPr>
      </xdr:nvSpPr>
      <xdr:spPr bwMode="auto">
        <a:xfrm>
          <a:off x="4438650" y="59531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46</xdr:row>
      <xdr:rowOff>0</xdr:rowOff>
    </xdr:from>
    <xdr:to>
      <xdr:col>13</xdr:col>
      <xdr:colOff>0</xdr:colOff>
      <xdr:row>46</xdr:row>
      <xdr:rowOff>0</xdr:rowOff>
    </xdr:to>
    <xdr:sp macro="" textlink="">
      <xdr:nvSpPr>
        <xdr:cNvPr id="208" name="Line 207"/>
        <xdr:cNvSpPr>
          <a:spLocks noChangeShapeType="1"/>
        </xdr:cNvSpPr>
      </xdr:nvSpPr>
      <xdr:spPr bwMode="auto">
        <a:xfrm>
          <a:off x="4667250" y="59531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209" name="Line 208"/>
        <xdr:cNvSpPr>
          <a:spLocks noChangeShapeType="1"/>
        </xdr:cNvSpPr>
      </xdr:nvSpPr>
      <xdr:spPr bwMode="auto">
        <a:xfrm>
          <a:off x="5210175" y="595312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210" name="Line 209"/>
        <xdr:cNvSpPr>
          <a:spLocks noChangeShapeType="1"/>
        </xdr:cNvSpPr>
      </xdr:nvSpPr>
      <xdr:spPr bwMode="auto">
        <a:xfrm>
          <a:off x="5438775" y="59531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49</xdr:row>
      <xdr:rowOff>0</xdr:rowOff>
    </xdr:from>
    <xdr:to>
      <xdr:col>3</xdr:col>
      <xdr:colOff>0</xdr:colOff>
      <xdr:row>49</xdr:row>
      <xdr:rowOff>0</xdr:rowOff>
    </xdr:to>
    <xdr:sp macro="" textlink="">
      <xdr:nvSpPr>
        <xdr:cNvPr id="211" name="Line 210"/>
        <xdr:cNvSpPr>
          <a:spLocks noChangeShapeType="1"/>
        </xdr:cNvSpPr>
      </xdr:nvSpPr>
      <xdr:spPr bwMode="auto">
        <a:xfrm>
          <a:off x="495300" y="89439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9525</xdr:colOff>
      <xdr:row>49</xdr:row>
      <xdr:rowOff>0</xdr:rowOff>
    </xdr:to>
    <xdr:sp macro="" textlink="">
      <xdr:nvSpPr>
        <xdr:cNvPr id="212" name="Line 211"/>
        <xdr:cNvSpPr>
          <a:spLocks noChangeShapeType="1"/>
        </xdr:cNvSpPr>
      </xdr:nvSpPr>
      <xdr:spPr bwMode="auto">
        <a:xfrm>
          <a:off x="1057275" y="8943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49</xdr:row>
      <xdr:rowOff>0</xdr:rowOff>
    </xdr:from>
    <xdr:to>
      <xdr:col>5</xdr:col>
      <xdr:colOff>0</xdr:colOff>
      <xdr:row>49</xdr:row>
      <xdr:rowOff>0</xdr:rowOff>
    </xdr:to>
    <xdr:sp macro="" textlink="">
      <xdr:nvSpPr>
        <xdr:cNvPr id="213" name="Line 212"/>
        <xdr:cNvSpPr>
          <a:spLocks noChangeShapeType="1"/>
        </xdr:cNvSpPr>
      </xdr:nvSpPr>
      <xdr:spPr bwMode="auto">
        <a:xfrm>
          <a:off x="1285875" y="8943975"/>
          <a:ext cx="8001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49</xdr:row>
      <xdr:rowOff>0</xdr:rowOff>
    </xdr:from>
    <xdr:to>
      <xdr:col>6</xdr:col>
      <xdr:colOff>9525</xdr:colOff>
      <xdr:row>49</xdr:row>
      <xdr:rowOff>0</xdr:rowOff>
    </xdr:to>
    <xdr:sp macro="" textlink="">
      <xdr:nvSpPr>
        <xdr:cNvPr id="214" name="Line 213"/>
        <xdr:cNvSpPr>
          <a:spLocks noChangeShapeType="1"/>
        </xdr:cNvSpPr>
      </xdr:nvSpPr>
      <xdr:spPr bwMode="auto">
        <a:xfrm>
          <a:off x="2085975" y="8943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49</xdr:row>
      <xdr:rowOff>0</xdr:rowOff>
    </xdr:from>
    <xdr:to>
      <xdr:col>7</xdr:col>
      <xdr:colOff>0</xdr:colOff>
      <xdr:row>49</xdr:row>
      <xdr:rowOff>0</xdr:rowOff>
    </xdr:to>
    <xdr:sp macro="" textlink="">
      <xdr:nvSpPr>
        <xdr:cNvPr id="215" name="Line 214"/>
        <xdr:cNvSpPr>
          <a:spLocks noChangeShapeType="1"/>
        </xdr:cNvSpPr>
      </xdr:nvSpPr>
      <xdr:spPr bwMode="auto">
        <a:xfrm>
          <a:off x="2314575" y="8943975"/>
          <a:ext cx="4953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216" name="Line 215"/>
        <xdr:cNvSpPr>
          <a:spLocks noChangeShapeType="1"/>
        </xdr:cNvSpPr>
      </xdr:nvSpPr>
      <xdr:spPr bwMode="auto">
        <a:xfrm>
          <a:off x="2809875" y="8943975"/>
          <a:ext cx="219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0</xdr:colOff>
      <xdr:row>49</xdr:row>
      <xdr:rowOff>0</xdr:rowOff>
    </xdr:to>
    <xdr:sp macro="" textlink="">
      <xdr:nvSpPr>
        <xdr:cNvPr id="217" name="Line 216"/>
        <xdr:cNvSpPr>
          <a:spLocks noChangeShapeType="1"/>
        </xdr:cNvSpPr>
      </xdr:nvSpPr>
      <xdr:spPr bwMode="auto">
        <a:xfrm>
          <a:off x="3028950" y="8943975"/>
          <a:ext cx="4286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49</xdr:row>
      <xdr:rowOff>0</xdr:rowOff>
    </xdr:from>
    <xdr:to>
      <xdr:col>10</xdr:col>
      <xdr:colOff>9525</xdr:colOff>
      <xdr:row>49</xdr:row>
      <xdr:rowOff>0</xdr:rowOff>
    </xdr:to>
    <xdr:sp macro="" textlink="">
      <xdr:nvSpPr>
        <xdr:cNvPr id="218" name="Line 217"/>
        <xdr:cNvSpPr>
          <a:spLocks noChangeShapeType="1"/>
        </xdr:cNvSpPr>
      </xdr:nvSpPr>
      <xdr:spPr bwMode="auto">
        <a:xfrm>
          <a:off x="3457575" y="8943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49</xdr:row>
      <xdr:rowOff>0</xdr:rowOff>
    </xdr:from>
    <xdr:to>
      <xdr:col>11</xdr:col>
      <xdr:colOff>0</xdr:colOff>
      <xdr:row>49</xdr:row>
      <xdr:rowOff>0</xdr:rowOff>
    </xdr:to>
    <xdr:sp macro="" textlink="">
      <xdr:nvSpPr>
        <xdr:cNvPr id="219" name="Line 218"/>
        <xdr:cNvSpPr>
          <a:spLocks noChangeShapeType="1"/>
        </xdr:cNvSpPr>
      </xdr:nvSpPr>
      <xdr:spPr bwMode="auto">
        <a:xfrm>
          <a:off x="3686175" y="89439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49</xdr:row>
      <xdr:rowOff>0</xdr:rowOff>
    </xdr:from>
    <xdr:to>
      <xdr:col>12</xdr:col>
      <xdr:colOff>9525</xdr:colOff>
      <xdr:row>49</xdr:row>
      <xdr:rowOff>0</xdr:rowOff>
    </xdr:to>
    <xdr:sp macro="" textlink="">
      <xdr:nvSpPr>
        <xdr:cNvPr id="220" name="Line 219"/>
        <xdr:cNvSpPr>
          <a:spLocks noChangeShapeType="1"/>
        </xdr:cNvSpPr>
      </xdr:nvSpPr>
      <xdr:spPr bwMode="auto">
        <a:xfrm>
          <a:off x="4438650" y="8943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49</xdr:row>
      <xdr:rowOff>0</xdr:rowOff>
    </xdr:from>
    <xdr:to>
      <xdr:col>13</xdr:col>
      <xdr:colOff>0</xdr:colOff>
      <xdr:row>49</xdr:row>
      <xdr:rowOff>0</xdr:rowOff>
    </xdr:to>
    <xdr:sp macro="" textlink="">
      <xdr:nvSpPr>
        <xdr:cNvPr id="221" name="Line 220"/>
        <xdr:cNvSpPr>
          <a:spLocks noChangeShapeType="1"/>
        </xdr:cNvSpPr>
      </xdr:nvSpPr>
      <xdr:spPr bwMode="auto">
        <a:xfrm>
          <a:off x="4667250" y="89439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0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222" name="Line 221"/>
        <xdr:cNvSpPr>
          <a:spLocks noChangeShapeType="1"/>
        </xdr:cNvSpPr>
      </xdr:nvSpPr>
      <xdr:spPr bwMode="auto">
        <a:xfrm>
          <a:off x="5210175" y="8943975"/>
          <a:ext cx="228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223" name="Line 222"/>
        <xdr:cNvSpPr>
          <a:spLocks noChangeShapeType="1"/>
        </xdr:cNvSpPr>
      </xdr:nvSpPr>
      <xdr:spPr bwMode="auto">
        <a:xfrm>
          <a:off x="5438775" y="89439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</xdr:row>
      <xdr:rowOff>0</xdr:rowOff>
    </xdr:from>
    <xdr:to>
      <xdr:col>11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054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11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11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</xdr:row>
      <xdr:rowOff>0</xdr:rowOff>
    </xdr:from>
    <xdr:to>
      <xdr:col>12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00775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12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62750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</xdr:row>
      <xdr:rowOff>0</xdr:rowOff>
    </xdr:from>
    <xdr:to>
      <xdr:col>12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00775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</xdr:row>
      <xdr:rowOff>0</xdr:rowOff>
    </xdr:from>
    <xdr:to>
      <xdr:col>12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00775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71</xdr:row>
      <xdr:rowOff>0</xdr:rowOff>
    </xdr:from>
    <xdr:to>
      <xdr:col>2</xdr:col>
      <xdr:colOff>9525</xdr:colOff>
      <xdr:row>72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420225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71</xdr:row>
      <xdr:rowOff>0</xdr:rowOff>
    </xdr:from>
    <xdr:to>
      <xdr:col>1</xdr:col>
      <xdr:colOff>0</xdr:colOff>
      <xdr:row>72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420225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71</xdr:row>
      <xdr:rowOff>0</xdr:rowOff>
    </xdr:from>
    <xdr:to>
      <xdr:col>11</xdr:col>
      <xdr:colOff>9525</xdr:colOff>
      <xdr:row>72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420225"/>
          <a:ext cx="57054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11</xdr:col>
      <xdr:colOff>9525</xdr:colOff>
      <xdr:row>71</xdr:row>
      <xdr:rowOff>0</xdr:rowOff>
    </xdr:from>
    <xdr:to>
      <xdr:col>12</xdr:col>
      <xdr:colOff>0</xdr:colOff>
      <xdr:row>72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00775" y="9420225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62750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11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00775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68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048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11</xdr:row>
      <xdr:rowOff>0</xdr:rowOff>
    </xdr:from>
    <xdr:to>
      <xdr:col>12</xdr:col>
      <xdr:colOff>0</xdr:colOff>
      <xdr:row>68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62750" y="1809750"/>
          <a:ext cx="0" cy="7048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68</xdr:row>
      <xdr:rowOff>0</xdr:rowOff>
    </xdr:from>
    <xdr:to>
      <xdr:col>2</xdr:col>
      <xdr:colOff>9525</xdr:colOff>
      <xdr:row>71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8858250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68</xdr:row>
      <xdr:rowOff>0</xdr:rowOff>
    </xdr:from>
    <xdr:to>
      <xdr:col>1</xdr:col>
      <xdr:colOff>0</xdr:colOff>
      <xdr:row>71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8858250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68</xdr:row>
      <xdr:rowOff>0</xdr:rowOff>
    </xdr:from>
    <xdr:to>
      <xdr:col>2</xdr:col>
      <xdr:colOff>9525</xdr:colOff>
      <xdr:row>68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88582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68</xdr:row>
      <xdr:rowOff>0</xdr:rowOff>
    </xdr:from>
    <xdr:to>
      <xdr:col>12</xdr:col>
      <xdr:colOff>0</xdr:colOff>
      <xdr:row>71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00775" y="8858250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11</xdr:col>
      <xdr:colOff>9525</xdr:colOff>
      <xdr:row>68</xdr:row>
      <xdr:rowOff>0</xdr:rowOff>
    </xdr:from>
    <xdr:to>
      <xdr:col>11</xdr:col>
      <xdr:colOff>9525</xdr:colOff>
      <xdr:row>71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00775" y="8858250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68</xdr:row>
      <xdr:rowOff>0</xdr:rowOff>
    </xdr:from>
    <xdr:to>
      <xdr:col>12</xdr:col>
      <xdr:colOff>0</xdr:colOff>
      <xdr:row>68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00775" y="88582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</xdr:row>
      <xdr:rowOff>0</xdr:rowOff>
    </xdr:from>
    <xdr:to>
      <xdr:col>3</xdr:col>
      <xdr:colOff>9525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66800" y="657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619250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</xdr:row>
      <xdr:rowOff>0</xdr:rowOff>
    </xdr:from>
    <xdr:to>
      <xdr:col>6</xdr:col>
      <xdr:colOff>9525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381250" y="657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</xdr:row>
      <xdr:rowOff>0</xdr:rowOff>
    </xdr:from>
    <xdr:to>
      <xdr:col>7</xdr:col>
      <xdr:colOff>9525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33700" y="65722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</xdr:row>
      <xdr:rowOff>0</xdr:rowOff>
    </xdr:from>
    <xdr:to>
      <xdr:col>8</xdr:col>
      <xdr:colOff>9525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571875" y="657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</xdr:row>
      <xdr:rowOff>0</xdr:rowOff>
    </xdr:from>
    <xdr:to>
      <xdr:col>9</xdr:col>
      <xdr:colOff>9525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124325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886325" y="657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9525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438775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9525</xdr:colOff>
      <xdr:row>11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95300" y="1809750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066800" y="18097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9525</xdr:colOff>
      <xdr:row>11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619250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11</xdr:row>
      <xdr:rowOff>0</xdr:rowOff>
    </xdr:from>
    <xdr:to>
      <xdr:col>6</xdr:col>
      <xdr:colOff>9525</xdr:colOff>
      <xdr:row>11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381250" y="18097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11</xdr:row>
      <xdr:rowOff>0</xdr:rowOff>
    </xdr:from>
    <xdr:to>
      <xdr:col>7</xdr:col>
      <xdr:colOff>9525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933700" y="1809750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11</xdr:row>
      <xdr:rowOff>0</xdr:rowOff>
    </xdr:from>
    <xdr:to>
      <xdr:col>8</xdr:col>
      <xdr:colOff>9525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571875" y="18097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11</xdr:row>
      <xdr:rowOff>0</xdr:rowOff>
    </xdr:from>
    <xdr:to>
      <xdr:col>9</xdr:col>
      <xdr:colOff>9525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4124325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886325" y="18097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9525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5438775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9525</xdr:colOff>
      <xdr:row>21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95300" y="29622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066800" y="2962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1619250" y="2962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381250" y="2962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933700" y="29622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571875" y="2962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124325" y="2962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886325" y="2962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438775" y="2962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9525</xdr:colOff>
      <xdr:row>26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495300" y="362902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1066800" y="3629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1619250" y="3629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2381250" y="3629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2933700" y="362902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3571875" y="3629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124325" y="3629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4886325" y="3629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438775" y="3629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31</xdr:row>
      <xdr:rowOff>0</xdr:rowOff>
    </xdr:from>
    <xdr:to>
      <xdr:col>3</xdr:col>
      <xdr:colOff>9525</xdr:colOff>
      <xdr:row>31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495300" y="42957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1066800" y="4295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619250" y="4295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2381250" y="4295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933700" y="42957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3571875" y="4295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4124325" y="4295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4886325" y="4295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5438775" y="4295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36</xdr:row>
      <xdr:rowOff>0</xdr:rowOff>
    </xdr:from>
    <xdr:to>
      <xdr:col>3</xdr:col>
      <xdr:colOff>9525</xdr:colOff>
      <xdr:row>36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495300" y="496252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9525</xdr:colOff>
      <xdr:row>36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066800" y="49625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1619250" y="49625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9525</xdr:colOff>
      <xdr:row>36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381250" y="49625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2933700" y="496252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9525</xdr:colOff>
      <xdr:row>36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571875" y="49625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124325" y="49625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9525</xdr:colOff>
      <xdr:row>36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886325" y="49625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438775" y="49625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41</xdr:row>
      <xdr:rowOff>0</xdr:rowOff>
    </xdr:from>
    <xdr:to>
      <xdr:col>3</xdr:col>
      <xdr:colOff>9525</xdr:colOff>
      <xdr:row>41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495300" y="56292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9525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066800" y="5629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619250" y="5629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381250" y="5629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933700" y="56292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9525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571875" y="5629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4124325" y="5629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9525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886325" y="56292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5438775" y="5629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46</xdr:row>
      <xdr:rowOff>0</xdr:rowOff>
    </xdr:from>
    <xdr:to>
      <xdr:col>3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95300" y="629602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9525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1066800" y="6296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1619250" y="6296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9525</xdr:colOff>
      <xdr:row>46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2381250" y="6296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933700" y="629602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9525</xdr:colOff>
      <xdr:row>46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3571875" y="6296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4124325" y="6296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9525</xdr:colOff>
      <xdr:row>46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4886325" y="62960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5438775" y="62960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51</xdr:row>
      <xdr:rowOff>0</xdr:rowOff>
    </xdr:from>
    <xdr:to>
      <xdr:col>3</xdr:col>
      <xdr:colOff>9525</xdr:colOff>
      <xdr:row>51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95300" y="69627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1066800" y="6962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1619250" y="6962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9525</xdr:colOff>
      <xdr:row>51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2381250" y="6962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2933700" y="69627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9525</xdr:colOff>
      <xdr:row>51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3571875" y="6962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124325" y="6962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9525</xdr:colOff>
      <xdr:row>51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4886325" y="6962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438775" y="6962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57</xdr:row>
      <xdr:rowOff>0</xdr:rowOff>
    </xdr:from>
    <xdr:to>
      <xdr:col>3</xdr:col>
      <xdr:colOff>9525</xdr:colOff>
      <xdr:row>57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95300" y="751522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9525</xdr:colOff>
      <xdr:row>57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066800" y="7515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619250" y="7515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9525</xdr:colOff>
      <xdr:row>57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381250" y="7515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933700" y="751522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9525</xdr:colOff>
      <xdr:row>57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3571875" y="7515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4124325" y="7515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9525</xdr:colOff>
      <xdr:row>57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886325" y="751522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5438775" y="7515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63</xdr:row>
      <xdr:rowOff>0</xdr:rowOff>
    </xdr:from>
    <xdr:to>
      <xdr:col>3</xdr:col>
      <xdr:colOff>9525</xdr:colOff>
      <xdr:row>63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95300" y="82200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63</xdr:row>
      <xdr:rowOff>0</xdr:rowOff>
    </xdr:from>
    <xdr:to>
      <xdr:col>4</xdr:col>
      <xdr:colOff>9525</xdr:colOff>
      <xdr:row>63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1066800" y="82200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63</xdr:row>
      <xdr:rowOff>0</xdr:rowOff>
    </xdr:from>
    <xdr:to>
      <xdr:col>5</xdr:col>
      <xdr:colOff>9525</xdr:colOff>
      <xdr:row>63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1619250" y="82200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63</xdr:row>
      <xdr:rowOff>0</xdr:rowOff>
    </xdr:from>
    <xdr:to>
      <xdr:col>6</xdr:col>
      <xdr:colOff>9525</xdr:colOff>
      <xdr:row>63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2381250" y="82200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63</xdr:row>
      <xdr:rowOff>0</xdr:rowOff>
    </xdr:from>
    <xdr:to>
      <xdr:col>7</xdr:col>
      <xdr:colOff>9525</xdr:colOff>
      <xdr:row>63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2933700" y="82200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63</xdr:row>
      <xdr:rowOff>0</xdr:rowOff>
    </xdr:from>
    <xdr:to>
      <xdr:col>8</xdr:col>
      <xdr:colOff>9525</xdr:colOff>
      <xdr:row>63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3571875" y="82200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63</xdr:row>
      <xdr:rowOff>0</xdr:rowOff>
    </xdr:from>
    <xdr:to>
      <xdr:col>9</xdr:col>
      <xdr:colOff>9525</xdr:colOff>
      <xdr:row>63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4124325" y="82200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63</xdr:row>
      <xdr:rowOff>0</xdr:rowOff>
    </xdr:from>
    <xdr:to>
      <xdr:col>10</xdr:col>
      <xdr:colOff>9525</xdr:colOff>
      <xdr:row>63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4886325" y="82200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63</xdr:row>
      <xdr:rowOff>0</xdr:rowOff>
    </xdr:from>
    <xdr:to>
      <xdr:col>11</xdr:col>
      <xdr:colOff>9525</xdr:colOff>
      <xdr:row>63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438775" y="82200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65</xdr:row>
      <xdr:rowOff>0</xdr:rowOff>
    </xdr:from>
    <xdr:to>
      <xdr:col>3</xdr:col>
      <xdr:colOff>9525</xdr:colOff>
      <xdr:row>65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495300" y="8486775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65</xdr:row>
      <xdr:rowOff>0</xdr:rowOff>
    </xdr:from>
    <xdr:to>
      <xdr:col>4</xdr:col>
      <xdr:colOff>9525</xdr:colOff>
      <xdr:row>65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066800" y="8486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65</xdr:row>
      <xdr:rowOff>0</xdr:rowOff>
    </xdr:from>
    <xdr:to>
      <xdr:col>5</xdr:col>
      <xdr:colOff>9525</xdr:colOff>
      <xdr:row>65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619250" y="8486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65</xdr:row>
      <xdr:rowOff>0</xdr:rowOff>
    </xdr:from>
    <xdr:to>
      <xdr:col>6</xdr:col>
      <xdr:colOff>9525</xdr:colOff>
      <xdr:row>65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381250" y="8486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65</xdr:row>
      <xdr:rowOff>0</xdr:rowOff>
    </xdr:from>
    <xdr:to>
      <xdr:col>7</xdr:col>
      <xdr:colOff>9525</xdr:colOff>
      <xdr:row>65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933700" y="8486775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65</xdr:row>
      <xdr:rowOff>0</xdr:rowOff>
    </xdr:from>
    <xdr:to>
      <xdr:col>8</xdr:col>
      <xdr:colOff>9525</xdr:colOff>
      <xdr:row>65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571875" y="8486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65</xdr:row>
      <xdr:rowOff>0</xdr:rowOff>
    </xdr:from>
    <xdr:to>
      <xdr:col>9</xdr:col>
      <xdr:colOff>9525</xdr:colOff>
      <xdr:row>65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4124325" y="8486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65</xdr:row>
      <xdr:rowOff>0</xdr:rowOff>
    </xdr:from>
    <xdr:to>
      <xdr:col>10</xdr:col>
      <xdr:colOff>9525</xdr:colOff>
      <xdr:row>65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886325" y="8486775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65</xdr:row>
      <xdr:rowOff>0</xdr:rowOff>
    </xdr:from>
    <xdr:to>
      <xdr:col>11</xdr:col>
      <xdr:colOff>9525</xdr:colOff>
      <xdr:row>65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438775" y="8486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68</xdr:row>
      <xdr:rowOff>0</xdr:rowOff>
    </xdr:from>
    <xdr:to>
      <xdr:col>3</xdr:col>
      <xdr:colOff>9525</xdr:colOff>
      <xdr:row>68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95300" y="8858250"/>
          <a:ext cx="5715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68</xdr:row>
      <xdr:rowOff>0</xdr:rowOff>
    </xdr:from>
    <xdr:to>
      <xdr:col>4</xdr:col>
      <xdr:colOff>9525</xdr:colOff>
      <xdr:row>68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066800" y="88582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68</xdr:row>
      <xdr:rowOff>0</xdr:rowOff>
    </xdr:from>
    <xdr:to>
      <xdr:col>5</xdr:col>
      <xdr:colOff>9525</xdr:colOff>
      <xdr:row>68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619250" y="88582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68</xdr:row>
      <xdr:rowOff>0</xdr:rowOff>
    </xdr:from>
    <xdr:to>
      <xdr:col>6</xdr:col>
      <xdr:colOff>9525</xdr:colOff>
      <xdr:row>68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381250" y="88582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68</xdr:row>
      <xdr:rowOff>0</xdr:rowOff>
    </xdr:from>
    <xdr:to>
      <xdr:col>7</xdr:col>
      <xdr:colOff>9525</xdr:colOff>
      <xdr:row>68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933700" y="8858250"/>
          <a:ext cx="638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68</xdr:row>
      <xdr:rowOff>0</xdr:rowOff>
    </xdr:from>
    <xdr:to>
      <xdr:col>8</xdr:col>
      <xdr:colOff>9525</xdr:colOff>
      <xdr:row>68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3571875" y="88582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68</xdr:row>
      <xdr:rowOff>0</xdr:rowOff>
    </xdr:from>
    <xdr:to>
      <xdr:col>9</xdr:col>
      <xdr:colOff>9525</xdr:colOff>
      <xdr:row>68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4124325" y="88582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68</xdr:row>
      <xdr:rowOff>0</xdr:rowOff>
    </xdr:from>
    <xdr:to>
      <xdr:col>10</xdr:col>
      <xdr:colOff>9525</xdr:colOff>
      <xdr:row>68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4886325" y="8858250"/>
          <a:ext cx="552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68</xdr:row>
      <xdr:rowOff>0</xdr:rowOff>
    </xdr:from>
    <xdr:to>
      <xdr:col>11</xdr:col>
      <xdr:colOff>9525</xdr:colOff>
      <xdr:row>68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5438775" y="88582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695950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695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2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6959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191250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14</xdr:col>
      <xdr:colOff>0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5322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191250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191250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57</xdr:row>
      <xdr:rowOff>0</xdr:rowOff>
    </xdr:from>
    <xdr:to>
      <xdr:col>2</xdr:col>
      <xdr:colOff>9525</xdr:colOff>
      <xdr:row>58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486900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57</xdr:row>
      <xdr:rowOff>0</xdr:rowOff>
    </xdr:from>
    <xdr:to>
      <xdr:col>1</xdr:col>
      <xdr:colOff>0</xdr:colOff>
      <xdr:row>58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486900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57</xdr:row>
      <xdr:rowOff>0</xdr:rowOff>
    </xdr:from>
    <xdr:to>
      <xdr:col>13</xdr:col>
      <xdr:colOff>9525</xdr:colOff>
      <xdr:row>58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486900"/>
          <a:ext cx="56959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9525</xdr:colOff>
      <xdr:row>57</xdr:row>
      <xdr:rowOff>0</xdr:rowOff>
    </xdr:from>
    <xdr:to>
      <xdr:col>14</xdr:col>
      <xdr:colOff>0</xdr:colOff>
      <xdr:row>58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191250" y="9486900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5322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11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19125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54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1151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11</xdr:row>
      <xdr:rowOff>0</xdr:rowOff>
    </xdr:from>
    <xdr:to>
      <xdr:col>14</xdr:col>
      <xdr:colOff>0</xdr:colOff>
      <xdr:row>54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53225" y="1809750"/>
          <a:ext cx="0" cy="71151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54</xdr:row>
      <xdr:rowOff>0</xdr:rowOff>
    </xdr:from>
    <xdr:to>
      <xdr:col>2</xdr:col>
      <xdr:colOff>9525</xdr:colOff>
      <xdr:row>57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8924925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54</xdr:row>
      <xdr:rowOff>0</xdr:rowOff>
    </xdr:from>
    <xdr:to>
      <xdr:col>1</xdr:col>
      <xdr:colOff>0</xdr:colOff>
      <xdr:row>57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8924925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54</xdr:row>
      <xdr:rowOff>0</xdr:rowOff>
    </xdr:from>
    <xdr:to>
      <xdr:col>2</xdr:col>
      <xdr:colOff>9525</xdr:colOff>
      <xdr:row>54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8924925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54</xdr:row>
      <xdr:rowOff>0</xdr:rowOff>
    </xdr:from>
    <xdr:to>
      <xdr:col>14</xdr:col>
      <xdr:colOff>0</xdr:colOff>
      <xdr:row>57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191250" y="8924925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13</xdr:col>
      <xdr:colOff>9525</xdr:colOff>
      <xdr:row>54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191250" y="8924925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54</xdr:row>
      <xdr:rowOff>0</xdr:rowOff>
    </xdr:from>
    <xdr:to>
      <xdr:col>14</xdr:col>
      <xdr:colOff>0</xdr:colOff>
      <xdr:row>54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191250" y="8924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57275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38112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</xdr:row>
      <xdr:rowOff>0</xdr:rowOff>
    </xdr:from>
    <xdr:to>
      <xdr:col>6</xdr:col>
      <xdr:colOff>9525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133600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457450" y="6572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</xdr:row>
      <xdr:rowOff>0</xdr:rowOff>
    </xdr:from>
    <xdr:to>
      <xdr:col>8</xdr:col>
      <xdr:colOff>9525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000375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32422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076700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400550" y="6572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</xdr:row>
      <xdr:rowOff>0</xdr:rowOff>
    </xdr:from>
    <xdr:to>
      <xdr:col>12</xdr:col>
      <xdr:colOff>9525</xdr:colOff>
      <xdr:row>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086350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</xdr:row>
      <xdr:rowOff>0</xdr:rowOff>
    </xdr:from>
    <xdr:to>
      <xdr:col>13</xdr:col>
      <xdr:colOff>9525</xdr:colOff>
      <xdr:row>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410200" y="65722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95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057275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38112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11</xdr:row>
      <xdr:rowOff>0</xdr:rowOff>
    </xdr:from>
    <xdr:to>
      <xdr:col>6</xdr:col>
      <xdr:colOff>9525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133600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457450" y="1809750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11</xdr:row>
      <xdr:rowOff>0</xdr:rowOff>
    </xdr:from>
    <xdr:to>
      <xdr:col>8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000375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11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32422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076700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400550" y="1809750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11</xdr:row>
      <xdr:rowOff>0</xdr:rowOff>
    </xdr:from>
    <xdr:to>
      <xdr:col>12</xdr:col>
      <xdr:colOff>9525</xdr:colOff>
      <xdr:row>11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086350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11</xdr:row>
      <xdr:rowOff>0</xdr:rowOff>
    </xdr:from>
    <xdr:to>
      <xdr:col>13</xdr:col>
      <xdr:colOff>9525</xdr:colOff>
      <xdr:row>11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410200" y="1809750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0</xdr:colOff>
      <xdr:row>21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495300" y="2962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057275" y="2962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38112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6</xdr:col>
      <xdr:colOff>9525</xdr:colOff>
      <xdr:row>21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133600" y="2962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21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457450" y="29622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21</xdr:row>
      <xdr:rowOff>0</xdr:rowOff>
    </xdr:from>
    <xdr:to>
      <xdr:col>8</xdr:col>
      <xdr:colOff>9525</xdr:colOff>
      <xdr:row>21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000375" y="2962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324225" y="2962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076700" y="2962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21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400550" y="29622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21</xdr:row>
      <xdr:rowOff>0</xdr:rowOff>
    </xdr:from>
    <xdr:to>
      <xdr:col>12</xdr:col>
      <xdr:colOff>9525</xdr:colOff>
      <xdr:row>21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086350" y="2962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410200" y="29622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0</xdr:colOff>
      <xdr:row>26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95300" y="36290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057275" y="36290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0</xdr:colOff>
      <xdr:row>26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38112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26</xdr:row>
      <xdr:rowOff>0</xdr:rowOff>
    </xdr:from>
    <xdr:to>
      <xdr:col>6</xdr:col>
      <xdr:colOff>9525</xdr:colOff>
      <xdr:row>26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133600" y="36290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457450" y="36290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000375" y="36290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324225" y="36290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076700" y="36290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400550" y="36290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086350" y="36290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410200" y="362902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31</xdr:row>
      <xdr:rowOff>0</xdr:rowOff>
    </xdr:from>
    <xdr:to>
      <xdr:col>3</xdr:col>
      <xdr:colOff>0</xdr:colOff>
      <xdr:row>31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95300" y="4295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31</xdr:row>
      <xdr:rowOff>0</xdr:rowOff>
    </xdr:from>
    <xdr:to>
      <xdr:col>4</xdr:col>
      <xdr:colOff>9525</xdr:colOff>
      <xdr:row>31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057275" y="4295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31</xdr:row>
      <xdr:rowOff>0</xdr:rowOff>
    </xdr:from>
    <xdr:to>
      <xdr:col>5</xdr:col>
      <xdr:colOff>0</xdr:colOff>
      <xdr:row>31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38112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31</xdr:row>
      <xdr:rowOff>0</xdr:rowOff>
    </xdr:from>
    <xdr:to>
      <xdr:col>6</xdr:col>
      <xdr:colOff>9525</xdr:colOff>
      <xdr:row>31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133600" y="4295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457450" y="42957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31</xdr:row>
      <xdr:rowOff>0</xdr:rowOff>
    </xdr:from>
    <xdr:to>
      <xdr:col>8</xdr:col>
      <xdr:colOff>9525</xdr:colOff>
      <xdr:row>31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000375" y="4295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324225" y="4295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31</xdr:row>
      <xdr:rowOff>0</xdr:rowOff>
    </xdr:from>
    <xdr:to>
      <xdr:col>10</xdr:col>
      <xdr:colOff>9525</xdr:colOff>
      <xdr:row>31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076700" y="4295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31</xdr:row>
      <xdr:rowOff>0</xdr:rowOff>
    </xdr:from>
    <xdr:to>
      <xdr:col>11</xdr:col>
      <xdr:colOff>0</xdr:colOff>
      <xdr:row>31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400550" y="42957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086350" y="4295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410200" y="42957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37</xdr:row>
      <xdr:rowOff>0</xdr:rowOff>
    </xdr:from>
    <xdr:to>
      <xdr:col>3</xdr:col>
      <xdr:colOff>0</xdr:colOff>
      <xdr:row>37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95300" y="4848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0</xdr:rowOff>
    </xdr:from>
    <xdr:to>
      <xdr:col>4</xdr:col>
      <xdr:colOff>9525</xdr:colOff>
      <xdr:row>37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057275" y="4848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37</xdr:row>
      <xdr:rowOff>0</xdr:rowOff>
    </xdr:from>
    <xdr:to>
      <xdr:col>5</xdr:col>
      <xdr:colOff>0</xdr:colOff>
      <xdr:row>37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381125" y="4848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37</xdr:row>
      <xdr:rowOff>0</xdr:rowOff>
    </xdr:from>
    <xdr:to>
      <xdr:col>6</xdr:col>
      <xdr:colOff>9525</xdr:colOff>
      <xdr:row>37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133600" y="4848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37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457450" y="48482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37</xdr:row>
      <xdr:rowOff>0</xdr:rowOff>
    </xdr:from>
    <xdr:to>
      <xdr:col>8</xdr:col>
      <xdr:colOff>9525</xdr:colOff>
      <xdr:row>37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000375" y="4848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324225" y="4848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37</xdr:row>
      <xdr:rowOff>0</xdr:rowOff>
    </xdr:from>
    <xdr:to>
      <xdr:col>10</xdr:col>
      <xdr:colOff>9525</xdr:colOff>
      <xdr:row>37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076700" y="4848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37</xdr:row>
      <xdr:rowOff>0</xdr:rowOff>
    </xdr:from>
    <xdr:to>
      <xdr:col>11</xdr:col>
      <xdr:colOff>0</xdr:colOff>
      <xdr:row>37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400550" y="48482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37</xdr:row>
      <xdr:rowOff>0</xdr:rowOff>
    </xdr:from>
    <xdr:to>
      <xdr:col>12</xdr:col>
      <xdr:colOff>9525</xdr:colOff>
      <xdr:row>37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086350" y="4848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410200" y="484822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43</xdr:row>
      <xdr:rowOff>0</xdr:rowOff>
    </xdr:from>
    <xdr:to>
      <xdr:col>3</xdr:col>
      <xdr:colOff>0</xdr:colOff>
      <xdr:row>43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495300" y="55530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43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057275" y="55530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43</xdr:row>
      <xdr:rowOff>0</xdr:rowOff>
    </xdr:from>
    <xdr:to>
      <xdr:col>5</xdr:col>
      <xdr:colOff>0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381125" y="55530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43</xdr:row>
      <xdr:rowOff>0</xdr:rowOff>
    </xdr:from>
    <xdr:to>
      <xdr:col>6</xdr:col>
      <xdr:colOff>9525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133600" y="55530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43</xdr:row>
      <xdr:rowOff>0</xdr:rowOff>
    </xdr:from>
    <xdr:to>
      <xdr:col>7</xdr:col>
      <xdr:colOff>0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457450" y="55530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43</xdr:row>
      <xdr:rowOff>0</xdr:rowOff>
    </xdr:from>
    <xdr:to>
      <xdr:col>8</xdr:col>
      <xdr:colOff>9525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000375" y="55530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324225" y="55530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9525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076700" y="55530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43</xdr:row>
      <xdr:rowOff>0</xdr:rowOff>
    </xdr:from>
    <xdr:to>
      <xdr:col>11</xdr:col>
      <xdr:colOff>0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400550" y="55530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43</xdr:row>
      <xdr:rowOff>0</xdr:rowOff>
    </xdr:from>
    <xdr:to>
      <xdr:col>12</xdr:col>
      <xdr:colOff>9525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086350" y="55530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410200" y="55530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45</xdr:row>
      <xdr:rowOff>0</xdr:rowOff>
    </xdr:from>
    <xdr:to>
      <xdr:col>3</xdr:col>
      <xdr:colOff>0</xdr:colOff>
      <xdr:row>45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95300" y="5819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9525</xdr:colOff>
      <xdr:row>45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057275" y="5819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45</xdr:row>
      <xdr:rowOff>0</xdr:rowOff>
    </xdr:from>
    <xdr:to>
      <xdr:col>5</xdr:col>
      <xdr:colOff>0</xdr:colOff>
      <xdr:row>45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1381125" y="5819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45</xdr:row>
      <xdr:rowOff>0</xdr:rowOff>
    </xdr:from>
    <xdr:to>
      <xdr:col>6</xdr:col>
      <xdr:colOff>9525</xdr:colOff>
      <xdr:row>45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133600" y="5819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45</xdr:row>
      <xdr:rowOff>0</xdr:rowOff>
    </xdr:from>
    <xdr:to>
      <xdr:col>7</xdr:col>
      <xdr:colOff>0</xdr:colOff>
      <xdr:row>45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457450" y="58197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45</xdr:row>
      <xdr:rowOff>0</xdr:rowOff>
    </xdr:from>
    <xdr:to>
      <xdr:col>8</xdr:col>
      <xdr:colOff>9525</xdr:colOff>
      <xdr:row>45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000375" y="5819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324225" y="5819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9525</xdr:colOff>
      <xdr:row>45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076700" y="5819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45</xdr:row>
      <xdr:rowOff>0</xdr:rowOff>
    </xdr:from>
    <xdr:to>
      <xdr:col>11</xdr:col>
      <xdr:colOff>0</xdr:colOff>
      <xdr:row>45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4400550" y="58197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45</xdr:row>
      <xdr:rowOff>0</xdr:rowOff>
    </xdr:from>
    <xdr:to>
      <xdr:col>12</xdr:col>
      <xdr:colOff>9525</xdr:colOff>
      <xdr:row>45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086350" y="5819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410200" y="58197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47</xdr:row>
      <xdr:rowOff>0</xdr:rowOff>
    </xdr:from>
    <xdr:to>
      <xdr:col>3</xdr:col>
      <xdr:colOff>0</xdr:colOff>
      <xdr:row>47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95300" y="60864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47</xdr:row>
      <xdr:rowOff>0</xdr:rowOff>
    </xdr:from>
    <xdr:to>
      <xdr:col>4</xdr:col>
      <xdr:colOff>9525</xdr:colOff>
      <xdr:row>47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057275" y="60864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47</xdr:row>
      <xdr:rowOff>0</xdr:rowOff>
    </xdr:from>
    <xdr:to>
      <xdr:col>5</xdr:col>
      <xdr:colOff>0</xdr:colOff>
      <xdr:row>47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1381125" y="60864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47</xdr:row>
      <xdr:rowOff>0</xdr:rowOff>
    </xdr:from>
    <xdr:to>
      <xdr:col>6</xdr:col>
      <xdr:colOff>9525</xdr:colOff>
      <xdr:row>47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133600" y="60864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47</xdr:row>
      <xdr:rowOff>0</xdr:rowOff>
    </xdr:from>
    <xdr:to>
      <xdr:col>7</xdr:col>
      <xdr:colOff>0</xdr:colOff>
      <xdr:row>47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2457450" y="60864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47</xdr:row>
      <xdr:rowOff>0</xdr:rowOff>
    </xdr:from>
    <xdr:to>
      <xdr:col>8</xdr:col>
      <xdr:colOff>9525</xdr:colOff>
      <xdr:row>47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000375" y="60864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47</xdr:row>
      <xdr:rowOff>0</xdr:rowOff>
    </xdr:from>
    <xdr:to>
      <xdr:col>9</xdr:col>
      <xdr:colOff>0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324225" y="60864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47</xdr:row>
      <xdr:rowOff>0</xdr:rowOff>
    </xdr:from>
    <xdr:to>
      <xdr:col>10</xdr:col>
      <xdr:colOff>9525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076700" y="60864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47</xdr:row>
      <xdr:rowOff>0</xdr:rowOff>
    </xdr:from>
    <xdr:to>
      <xdr:col>11</xdr:col>
      <xdr:colOff>0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4400550" y="60864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47</xdr:row>
      <xdr:rowOff>0</xdr:rowOff>
    </xdr:from>
    <xdr:to>
      <xdr:col>12</xdr:col>
      <xdr:colOff>9525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086350" y="60864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410200" y="60864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49</xdr:row>
      <xdr:rowOff>0</xdr:rowOff>
    </xdr:from>
    <xdr:to>
      <xdr:col>3</xdr:col>
      <xdr:colOff>0</xdr:colOff>
      <xdr:row>49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495300" y="63531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9525</xdr:colOff>
      <xdr:row>49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057275" y="6353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49</xdr:row>
      <xdr:rowOff>0</xdr:rowOff>
    </xdr:from>
    <xdr:to>
      <xdr:col>5</xdr:col>
      <xdr:colOff>0</xdr:colOff>
      <xdr:row>49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381125" y="6353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49</xdr:row>
      <xdr:rowOff>0</xdr:rowOff>
    </xdr:from>
    <xdr:to>
      <xdr:col>6</xdr:col>
      <xdr:colOff>9525</xdr:colOff>
      <xdr:row>49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33600" y="6353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49</xdr:row>
      <xdr:rowOff>0</xdr:rowOff>
    </xdr:from>
    <xdr:to>
      <xdr:col>7</xdr:col>
      <xdr:colOff>0</xdr:colOff>
      <xdr:row>49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457450" y="63531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49</xdr:row>
      <xdr:rowOff>0</xdr:rowOff>
    </xdr:from>
    <xdr:to>
      <xdr:col>8</xdr:col>
      <xdr:colOff>9525</xdr:colOff>
      <xdr:row>49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000375" y="6353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49</xdr:row>
      <xdr:rowOff>0</xdr:rowOff>
    </xdr:from>
    <xdr:to>
      <xdr:col>9</xdr:col>
      <xdr:colOff>0</xdr:colOff>
      <xdr:row>49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324225" y="6353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49</xdr:row>
      <xdr:rowOff>0</xdr:rowOff>
    </xdr:from>
    <xdr:to>
      <xdr:col>10</xdr:col>
      <xdr:colOff>9525</xdr:colOff>
      <xdr:row>49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076700" y="6353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49</xdr:row>
      <xdr:rowOff>0</xdr:rowOff>
    </xdr:from>
    <xdr:to>
      <xdr:col>11</xdr:col>
      <xdr:colOff>0</xdr:colOff>
      <xdr:row>49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400550" y="63531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49</xdr:row>
      <xdr:rowOff>0</xdr:rowOff>
    </xdr:from>
    <xdr:to>
      <xdr:col>12</xdr:col>
      <xdr:colOff>9525</xdr:colOff>
      <xdr:row>49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086350" y="6353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410200" y="63531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51</xdr:row>
      <xdr:rowOff>0</xdr:rowOff>
    </xdr:from>
    <xdr:to>
      <xdr:col>3</xdr:col>
      <xdr:colOff>0</xdr:colOff>
      <xdr:row>51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95300" y="66198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51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057275" y="66198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51</xdr:row>
      <xdr:rowOff>0</xdr:rowOff>
    </xdr:from>
    <xdr:to>
      <xdr:col>5</xdr:col>
      <xdr:colOff>0</xdr:colOff>
      <xdr:row>51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1381125" y="66198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51</xdr:row>
      <xdr:rowOff>0</xdr:rowOff>
    </xdr:from>
    <xdr:to>
      <xdr:col>6</xdr:col>
      <xdr:colOff>9525</xdr:colOff>
      <xdr:row>51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133600" y="66198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51</xdr:row>
      <xdr:rowOff>0</xdr:rowOff>
    </xdr:from>
    <xdr:to>
      <xdr:col>7</xdr:col>
      <xdr:colOff>0</xdr:colOff>
      <xdr:row>51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457450" y="661987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51</xdr:row>
      <xdr:rowOff>0</xdr:rowOff>
    </xdr:from>
    <xdr:to>
      <xdr:col>8</xdr:col>
      <xdr:colOff>9525</xdr:colOff>
      <xdr:row>51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000375" y="66198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51</xdr:row>
      <xdr:rowOff>0</xdr:rowOff>
    </xdr:from>
    <xdr:to>
      <xdr:col>9</xdr:col>
      <xdr:colOff>0</xdr:colOff>
      <xdr:row>51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324225" y="66198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51</xdr:row>
      <xdr:rowOff>0</xdr:rowOff>
    </xdr:from>
    <xdr:to>
      <xdr:col>10</xdr:col>
      <xdr:colOff>9525</xdr:colOff>
      <xdr:row>51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076700" y="66198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51</xdr:row>
      <xdr:rowOff>0</xdr:rowOff>
    </xdr:from>
    <xdr:to>
      <xdr:col>11</xdr:col>
      <xdr:colOff>0</xdr:colOff>
      <xdr:row>51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4400550" y="661987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51</xdr:row>
      <xdr:rowOff>0</xdr:rowOff>
    </xdr:from>
    <xdr:to>
      <xdr:col>12</xdr:col>
      <xdr:colOff>9525</xdr:colOff>
      <xdr:row>51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086350" y="66198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410200" y="661987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54</xdr:row>
      <xdr:rowOff>0</xdr:rowOff>
    </xdr:from>
    <xdr:to>
      <xdr:col>3</xdr:col>
      <xdr:colOff>0</xdr:colOff>
      <xdr:row>54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95300" y="8924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54</xdr:row>
      <xdr:rowOff>0</xdr:rowOff>
    </xdr:from>
    <xdr:to>
      <xdr:col>4</xdr:col>
      <xdr:colOff>9525</xdr:colOff>
      <xdr:row>54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057275" y="8924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54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1381125" y="8924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54</xdr:row>
      <xdr:rowOff>0</xdr:rowOff>
    </xdr:from>
    <xdr:to>
      <xdr:col>6</xdr:col>
      <xdr:colOff>9525</xdr:colOff>
      <xdr:row>54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133600" y="8924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54</xdr:row>
      <xdr:rowOff>0</xdr:rowOff>
    </xdr:from>
    <xdr:to>
      <xdr:col>7</xdr:col>
      <xdr:colOff>0</xdr:colOff>
      <xdr:row>54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2457450" y="8924925"/>
          <a:ext cx="5429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54</xdr:row>
      <xdr:rowOff>0</xdr:rowOff>
    </xdr:from>
    <xdr:to>
      <xdr:col>8</xdr:col>
      <xdr:colOff>9525</xdr:colOff>
      <xdr:row>54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3000375" y="8924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54</xdr:row>
      <xdr:rowOff>0</xdr:rowOff>
    </xdr:from>
    <xdr:to>
      <xdr:col>9</xdr:col>
      <xdr:colOff>0</xdr:colOff>
      <xdr:row>54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324225" y="8924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54</xdr:row>
      <xdr:rowOff>0</xdr:rowOff>
    </xdr:from>
    <xdr:to>
      <xdr:col>10</xdr:col>
      <xdr:colOff>9525</xdr:colOff>
      <xdr:row>54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4076700" y="8924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54</xdr:row>
      <xdr:rowOff>0</xdr:rowOff>
    </xdr:from>
    <xdr:to>
      <xdr:col>11</xdr:col>
      <xdr:colOff>0</xdr:colOff>
      <xdr:row>54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4400550" y="8924925"/>
          <a:ext cx="685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54</xdr:row>
      <xdr:rowOff>0</xdr:rowOff>
    </xdr:from>
    <xdr:to>
      <xdr:col>12</xdr:col>
      <xdr:colOff>9525</xdr:colOff>
      <xdr:row>54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5086350" y="8924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54</xdr:row>
      <xdr:rowOff>0</xdr:rowOff>
    </xdr:from>
    <xdr:to>
      <xdr:col>13</xdr:col>
      <xdr:colOff>9525</xdr:colOff>
      <xdr:row>54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410200" y="8924925"/>
          <a:ext cx="7810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054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</xdr:row>
      <xdr:rowOff>0</xdr:rowOff>
    </xdr:from>
    <xdr:to>
      <xdr:col>13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13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00775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14</xdr:col>
      <xdr:colOff>0</xdr:colOff>
      <xdr:row>1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62750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1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00775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</xdr:row>
      <xdr:rowOff>0</xdr:rowOff>
    </xdr:from>
    <xdr:to>
      <xdr:col>14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00775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41</xdr:row>
      <xdr:rowOff>0</xdr:rowOff>
    </xdr:from>
    <xdr:to>
      <xdr:col>2</xdr:col>
      <xdr:colOff>9525</xdr:colOff>
      <xdr:row>42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553575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42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553575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41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553575"/>
          <a:ext cx="57054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00775" y="9553575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62750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11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00775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38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181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11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62750" y="1809750"/>
          <a:ext cx="0" cy="7181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9525</xdr:colOff>
      <xdr:row>41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8991600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38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8991600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38</xdr:row>
      <xdr:rowOff>0</xdr:rowOff>
    </xdr:from>
    <xdr:to>
      <xdr:col>2</xdr:col>
      <xdr:colOff>9525</xdr:colOff>
      <xdr:row>38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89916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00775" y="8991600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00775" y="8991600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00775" y="89916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5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057275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1381125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133600" y="6572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447925" y="6572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5</xdr:row>
      <xdr:rowOff>0</xdr:rowOff>
    </xdr:from>
    <xdr:to>
      <xdr:col>8</xdr:col>
      <xdr:colOff>9525</xdr:colOff>
      <xdr:row>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2781300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5</xdr:row>
      <xdr:rowOff>0</xdr:rowOff>
    </xdr:from>
    <xdr:to>
      <xdr:col>9</xdr:col>
      <xdr:colOff>0</xdr:colOff>
      <xdr:row>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105150" y="657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</xdr:row>
      <xdr:rowOff>0</xdr:rowOff>
    </xdr:from>
    <xdr:to>
      <xdr:col>10</xdr:col>
      <xdr:colOff>9525</xdr:colOff>
      <xdr:row>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3857625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4181475" y="6572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5</xdr:row>
      <xdr:rowOff>0</xdr:rowOff>
    </xdr:from>
    <xdr:to>
      <xdr:col>12</xdr:col>
      <xdr:colOff>9525</xdr:colOff>
      <xdr:row>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114925" y="657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5</xdr:row>
      <xdr:rowOff>0</xdr:rowOff>
    </xdr:from>
    <xdr:to>
      <xdr:col>13</xdr:col>
      <xdr:colOff>9525</xdr:colOff>
      <xdr:row>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438775" y="657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495300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057275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381125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133600" y="1809750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447925" y="180975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11</xdr:row>
      <xdr:rowOff>0</xdr:rowOff>
    </xdr:from>
    <xdr:to>
      <xdr:col>8</xdr:col>
      <xdr:colOff>9525</xdr:colOff>
      <xdr:row>11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781300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11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105150" y="180975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3857625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11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4181475" y="1809750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11</xdr:row>
      <xdr:rowOff>0</xdr:rowOff>
    </xdr:from>
    <xdr:to>
      <xdr:col>12</xdr:col>
      <xdr:colOff>9525</xdr:colOff>
      <xdr:row>11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114925" y="18097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11</xdr:row>
      <xdr:rowOff>0</xdr:rowOff>
    </xdr:from>
    <xdr:to>
      <xdr:col>13</xdr:col>
      <xdr:colOff>9525</xdr:colOff>
      <xdr:row>11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438775" y="180975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19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495300" y="2447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19</xdr:row>
      <xdr:rowOff>0</xdr:rowOff>
    </xdr:from>
    <xdr:to>
      <xdr:col>4</xdr:col>
      <xdr:colOff>9525</xdr:colOff>
      <xdr:row>19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057275" y="2447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381125" y="2447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19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133600" y="24479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19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447925" y="24479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19</xdr:row>
      <xdr:rowOff>0</xdr:rowOff>
    </xdr:from>
    <xdr:to>
      <xdr:col>8</xdr:col>
      <xdr:colOff>9525</xdr:colOff>
      <xdr:row>19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781300" y="2447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19</xdr:row>
      <xdr:rowOff>0</xdr:rowOff>
    </xdr:from>
    <xdr:to>
      <xdr:col>9</xdr:col>
      <xdr:colOff>0</xdr:colOff>
      <xdr:row>19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105150" y="2447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857625" y="2447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19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181475" y="24479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19</xdr:row>
      <xdr:rowOff>0</xdr:rowOff>
    </xdr:from>
    <xdr:to>
      <xdr:col>12</xdr:col>
      <xdr:colOff>9525</xdr:colOff>
      <xdr:row>19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114925" y="2447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19</xdr:row>
      <xdr:rowOff>0</xdr:rowOff>
    </xdr:from>
    <xdr:to>
      <xdr:col>13</xdr:col>
      <xdr:colOff>9525</xdr:colOff>
      <xdr:row>19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438775" y="24479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25</xdr:row>
      <xdr:rowOff>0</xdr:rowOff>
    </xdr:from>
    <xdr:to>
      <xdr:col>3</xdr:col>
      <xdr:colOff>0</xdr:colOff>
      <xdr:row>25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95300" y="31527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25</xdr:row>
      <xdr:rowOff>0</xdr:rowOff>
    </xdr:from>
    <xdr:to>
      <xdr:col>4</xdr:col>
      <xdr:colOff>9525</xdr:colOff>
      <xdr:row>25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057275" y="3152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25</xdr:row>
      <xdr:rowOff>0</xdr:rowOff>
    </xdr:from>
    <xdr:to>
      <xdr:col>5</xdr:col>
      <xdr:colOff>0</xdr:colOff>
      <xdr:row>25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1381125" y="315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133600" y="315277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25</xdr:row>
      <xdr:rowOff>0</xdr:rowOff>
    </xdr:from>
    <xdr:to>
      <xdr:col>7</xdr:col>
      <xdr:colOff>0</xdr:colOff>
      <xdr:row>25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447925" y="315277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25</xdr:row>
      <xdr:rowOff>0</xdr:rowOff>
    </xdr:from>
    <xdr:to>
      <xdr:col>8</xdr:col>
      <xdr:colOff>9525</xdr:colOff>
      <xdr:row>25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2781300" y="3152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25</xdr:row>
      <xdr:rowOff>0</xdr:rowOff>
    </xdr:from>
    <xdr:to>
      <xdr:col>9</xdr:col>
      <xdr:colOff>0</xdr:colOff>
      <xdr:row>25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105150" y="31527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25</xdr:row>
      <xdr:rowOff>0</xdr:rowOff>
    </xdr:from>
    <xdr:to>
      <xdr:col>10</xdr:col>
      <xdr:colOff>9525</xdr:colOff>
      <xdr:row>25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3857625" y="3152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25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4181475" y="315277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25</xdr:row>
      <xdr:rowOff>0</xdr:rowOff>
    </xdr:from>
    <xdr:to>
      <xdr:col>12</xdr:col>
      <xdr:colOff>9525</xdr:colOff>
      <xdr:row>25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114925" y="31527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25</xdr:row>
      <xdr:rowOff>0</xdr:rowOff>
    </xdr:from>
    <xdr:to>
      <xdr:col>13</xdr:col>
      <xdr:colOff>9525</xdr:colOff>
      <xdr:row>25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438775" y="31527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0</xdr:colOff>
      <xdr:row>26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495300" y="32861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057275" y="32861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0</xdr:colOff>
      <xdr:row>26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1381125" y="32861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133600" y="32861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0</xdr:colOff>
      <xdr:row>26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447925" y="32861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26</xdr:row>
      <xdr:rowOff>0</xdr:rowOff>
    </xdr:from>
    <xdr:to>
      <xdr:col>8</xdr:col>
      <xdr:colOff>9525</xdr:colOff>
      <xdr:row>26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2781300" y="32861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105150" y="32861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9525</xdr:colOff>
      <xdr:row>26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3857625" y="32861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181475" y="32861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26</xdr:row>
      <xdr:rowOff>0</xdr:rowOff>
    </xdr:from>
    <xdr:to>
      <xdr:col>12</xdr:col>
      <xdr:colOff>9525</xdr:colOff>
      <xdr:row>26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114925" y="32861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438775" y="32861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29</xdr:row>
      <xdr:rowOff>0</xdr:rowOff>
    </xdr:from>
    <xdr:to>
      <xdr:col>3</xdr:col>
      <xdr:colOff>0</xdr:colOff>
      <xdr:row>29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495300" y="36861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29</xdr:row>
      <xdr:rowOff>0</xdr:rowOff>
    </xdr:from>
    <xdr:to>
      <xdr:col>4</xdr:col>
      <xdr:colOff>9525</xdr:colOff>
      <xdr:row>29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057275" y="3686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29</xdr:row>
      <xdr:rowOff>0</xdr:rowOff>
    </xdr:from>
    <xdr:to>
      <xdr:col>5</xdr:col>
      <xdr:colOff>0</xdr:colOff>
      <xdr:row>29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381125" y="3686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133600" y="368617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447925" y="368617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29</xdr:row>
      <xdr:rowOff>0</xdr:rowOff>
    </xdr:from>
    <xdr:to>
      <xdr:col>8</xdr:col>
      <xdr:colOff>9525</xdr:colOff>
      <xdr:row>29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781300" y="3686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29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105150" y="36861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29</xdr:row>
      <xdr:rowOff>0</xdr:rowOff>
    </xdr:from>
    <xdr:to>
      <xdr:col>10</xdr:col>
      <xdr:colOff>9525</xdr:colOff>
      <xdr:row>29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857625" y="3686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29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181475" y="368617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29</xdr:row>
      <xdr:rowOff>0</xdr:rowOff>
    </xdr:from>
    <xdr:to>
      <xdr:col>12</xdr:col>
      <xdr:colOff>9525</xdr:colOff>
      <xdr:row>29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114925" y="36861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438775" y="36861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30</xdr:row>
      <xdr:rowOff>0</xdr:rowOff>
    </xdr:from>
    <xdr:to>
      <xdr:col>3</xdr:col>
      <xdr:colOff>0</xdr:colOff>
      <xdr:row>30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495300" y="38195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057275" y="38195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381125" y="3819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30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133600" y="38195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30</xdr:row>
      <xdr:rowOff>0</xdr:rowOff>
    </xdr:from>
    <xdr:to>
      <xdr:col>7</xdr:col>
      <xdr:colOff>0</xdr:colOff>
      <xdr:row>30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447925" y="38195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30</xdr:row>
      <xdr:rowOff>0</xdr:rowOff>
    </xdr:from>
    <xdr:to>
      <xdr:col>8</xdr:col>
      <xdr:colOff>9525</xdr:colOff>
      <xdr:row>30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781300" y="38195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30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105150" y="38195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30</xdr:row>
      <xdr:rowOff>0</xdr:rowOff>
    </xdr:from>
    <xdr:to>
      <xdr:col>10</xdr:col>
      <xdr:colOff>9525</xdr:colOff>
      <xdr:row>30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3857625" y="38195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30</xdr:row>
      <xdr:rowOff>0</xdr:rowOff>
    </xdr:from>
    <xdr:to>
      <xdr:col>11</xdr:col>
      <xdr:colOff>0</xdr:colOff>
      <xdr:row>30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4181475" y="38195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30</xdr:row>
      <xdr:rowOff>0</xdr:rowOff>
    </xdr:from>
    <xdr:to>
      <xdr:col>12</xdr:col>
      <xdr:colOff>9525</xdr:colOff>
      <xdr:row>30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114925" y="38195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30</xdr:row>
      <xdr:rowOff>0</xdr:rowOff>
    </xdr:from>
    <xdr:to>
      <xdr:col>13</xdr:col>
      <xdr:colOff>9525</xdr:colOff>
      <xdr:row>30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438775" y="38195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32</xdr:row>
      <xdr:rowOff>0</xdr:rowOff>
    </xdr:from>
    <xdr:to>
      <xdr:col>3</xdr:col>
      <xdr:colOff>0</xdr:colOff>
      <xdr:row>32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95300" y="40862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0</xdr:colOff>
      <xdr:row>32</xdr:row>
      <xdr:rowOff>0</xdr:rowOff>
    </xdr:from>
    <xdr:to>
      <xdr:col>4</xdr:col>
      <xdr:colOff>9525</xdr:colOff>
      <xdr:row>32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057275" y="4086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32</xdr:row>
      <xdr:rowOff>0</xdr:rowOff>
    </xdr:from>
    <xdr:to>
      <xdr:col>5</xdr:col>
      <xdr:colOff>0</xdr:colOff>
      <xdr:row>32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1381125" y="4086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133600" y="40862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0</xdr:colOff>
      <xdr:row>32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447925" y="40862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32</xdr:row>
      <xdr:rowOff>0</xdr:rowOff>
    </xdr:from>
    <xdr:to>
      <xdr:col>8</xdr:col>
      <xdr:colOff>9525</xdr:colOff>
      <xdr:row>32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2781300" y="4086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32</xdr:row>
      <xdr:rowOff>0</xdr:rowOff>
    </xdr:from>
    <xdr:to>
      <xdr:col>9</xdr:col>
      <xdr:colOff>0</xdr:colOff>
      <xdr:row>32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105150" y="40862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32</xdr:row>
      <xdr:rowOff>0</xdr:rowOff>
    </xdr:from>
    <xdr:to>
      <xdr:col>10</xdr:col>
      <xdr:colOff>9525</xdr:colOff>
      <xdr:row>32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3857625" y="4086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32</xdr:row>
      <xdr:rowOff>0</xdr:rowOff>
    </xdr:from>
    <xdr:to>
      <xdr:col>11</xdr:col>
      <xdr:colOff>0</xdr:colOff>
      <xdr:row>32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4181475" y="40862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32</xdr:row>
      <xdr:rowOff>0</xdr:rowOff>
    </xdr:from>
    <xdr:to>
      <xdr:col>12</xdr:col>
      <xdr:colOff>9525</xdr:colOff>
      <xdr:row>32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114925" y="40862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438775" y="40862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495300" y="435292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9525</xdr:colOff>
      <xdr:row>34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057275" y="4352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34</xdr:row>
      <xdr:rowOff>0</xdr:rowOff>
    </xdr:from>
    <xdr:to>
      <xdr:col>5</xdr:col>
      <xdr:colOff>0</xdr:colOff>
      <xdr:row>34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1381125" y="4352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133600" y="435292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2447925" y="435292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34</xdr:row>
      <xdr:rowOff>0</xdr:rowOff>
    </xdr:from>
    <xdr:to>
      <xdr:col>8</xdr:col>
      <xdr:colOff>9525</xdr:colOff>
      <xdr:row>34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2781300" y="4352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34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105150" y="435292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34</xdr:row>
      <xdr:rowOff>0</xdr:rowOff>
    </xdr:from>
    <xdr:to>
      <xdr:col>10</xdr:col>
      <xdr:colOff>9525</xdr:colOff>
      <xdr:row>34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3857625" y="4352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34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4181475" y="435292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34</xdr:row>
      <xdr:rowOff>0</xdr:rowOff>
    </xdr:from>
    <xdr:to>
      <xdr:col>12</xdr:col>
      <xdr:colOff>9525</xdr:colOff>
      <xdr:row>34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114925" y="435292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438775" y="435292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35</xdr:row>
      <xdr:rowOff>0</xdr:rowOff>
    </xdr:from>
    <xdr:to>
      <xdr:col>3</xdr:col>
      <xdr:colOff>0</xdr:colOff>
      <xdr:row>35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495300" y="4486275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35</xdr:row>
      <xdr:rowOff>0</xdr:rowOff>
    </xdr:from>
    <xdr:to>
      <xdr:col>4</xdr:col>
      <xdr:colOff>9525</xdr:colOff>
      <xdr:row>35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057275" y="4486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35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1381125" y="4486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133600" y="4486275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447925" y="4486275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35</xdr:row>
      <xdr:rowOff>0</xdr:rowOff>
    </xdr:from>
    <xdr:to>
      <xdr:col>8</xdr:col>
      <xdr:colOff>9525</xdr:colOff>
      <xdr:row>35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2781300" y="4486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105150" y="4486275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35</xdr:row>
      <xdr:rowOff>0</xdr:rowOff>
    </xdr:from>
    <xdr:to>
      <xdr:col>10</xdr:col>
      <xdr:colOff>9525</xdr:colOff>
      <xdr:row>35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3857625" y="4486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35</xdr:row>
      <xdr:rowOff>0</xdr:rowOff>
    </xdr:from>
    <xdr:to>
      <xdr:col>11</xdr:col>
      <xdr:colOff>0</xdr:colOff>
      <xdr:row>35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181475" y="4486275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35</xdr:row>
      <xdr:rowOff>0</xdr:rowOff>
    </xdr:from>
    <xdr:to>
      <xdr:col>12</xdr:col>
      <xdr:colOff>9525</xdr:colOff>
      <xdr:row>35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114925" y="44862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438775" y="4486275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38</xdr:row>
      <xdr:rowOff>0</xdr:rowOff>
    </xdr:from>
    <xdr:to>
      <xdr:col>3</xdr:col>
      <xdr:colOff>0</xdr:colOff>
      <xdr:row>38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495300" y="89916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4</xdr:col>
      <xdr:colOff>9525</xdr:colOff>
      <xdr:row>38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057275" y="899160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38</xdr:row>
      <xdr:rowOff>0</xdr:rowOff>
    </xdr:from>
    <xdr:to>
      <xdr:col>5</xdr:col>
      <xdr:colOff>0</xdr:colOff>
      <xdr:row>38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1381125" y="899160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0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133600" y="8991600"/>
          <a:ext cx="3143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0</xdr:colOff>
      <xdr:row>38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447925" y="899160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38</xdr:row>
      <xdr:rowOff>0</xdr:rowOff>
    </xdr:from>
    <xdr:to>
      <xdr:col>8</xdr:col>
      <xdr:colOff>9525</xdr:colOff>
      <xdr:row>38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781300" y="899160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38</xdr:row>
      <xdr:rowOff>0</xdr:rowOff>
    </xdr:from>
    <xdr:to>
      <xdr:col>9</xdr:col>
      <xdr:colOff>0</xdr:colOff>
      <xdr:row>38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105150" y="8991600"/>
          <a:ext cx="752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38</xdr:row>
      <xdr:rowOff>0</xdr:rowOff>
    </xdr:from>
    <xdr:to>
      <xdr:col>10</xdr:col>
      <xdr:colOff>9525</xdr:colOff>
      <xdr:row>38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3857625" y="899160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38</xdr:row>
      <xdr:rowOff>0</xdr:rowOff>
    </xdr:from>
    <xdr:to>
      <xdr:col>11</xdr:col>
      <xdr:colOff>0</xdr:colOff>
      <xdr:row>38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4181475" y="8991600"/>
          <a:ext cx="9334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0</xdr:colOff>
      <xdr:row>38</xdr:row>
      <xdr:rowOff>0</xdr:rowOff>
    </xdr:from>
    <xdr:to>
      <xdr:col>12</xdr:col>
      <xdr:colOff>9525</xdr:colOff>
      <xdr:row>38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114925" y="899160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438775" y="8991600"/>
          <a:ext cx="762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8575" y="19050"/>
          <a:ext cx="4667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8575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9525</xdr:colOff>
      <xdr:row>1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28575" y="190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9525</xdr:colOff>
      <xdr:row>2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28575" y="2667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</xdr:row>
      <xdr:rowOff>0</xdr:rowOff>
    </xdr:from>
    <xdr:to>
      <xdr:col>5</xdr:col>
      <xdr:colOff>9525</xdr:colOff>
      <xdr:row>2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495300" y="19050"/>
          <a:ext cx="57054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2</xdr:col>
      <xdr:colOff>9525</xdr:colOff>
      <xdr:row>1</xdr:row>
      <xdr:rowOff>0</xdr:rowOff>
    </xdr:from>
    <xdr:to>
      <xdr:col>5</xdr:col>
      <xdr:colOff>9525</xdr:colOff>
      <xdr:row>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95300" y="1905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</xdr:row>
      <xdr:rowOff>0</xdr:rowOff>
    </xdr:from>
    <xdr:to>
      <xdr:col>5</xdr:col>
      <xdr:colOff>9525</xdr:colOff>
      <xdr:row>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495300" y="266700"/>
          <a:ext cx="57054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6200775" y="19050"/>
          <a:ext cx="56197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6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6762750" y="19050"/>
          <a:ext cx="0" cy="2476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</xdr:row>
      <xdr:rowOff>0</xdr:rowOff>
    </xdr:from>
    <xdr:to>
      <xdr:col>6</xdr:col>
      <xdr:colOff>0</xdr:colOff>
      <xdr:row>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6200775" y="190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200775" y="2667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29</xdr:row>
      <xdr:rowOff>0</xdr:rowOff>
    </xdr:from>
    <xdr:to>
      <xdr:col>2</xdr:col>
      <xdr:colOff>9525</xdr:colOff>
      <xdr:row>30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8575" y="9629775"/>
          <a:ext cx="4667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29</xdr:row>
      <xdr:rowOff>0</xdr:rowOff>
    </xdr:from>
    <xdr:to>
      <xdr:col>1</xdr:col>
      <xdr:colOff>0</xdr:colOff>
      <xdr:row>30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28575" y="9629775"/>
          <a:ext cx="0" cy="1619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29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495300" y="9629775"/>
          <a:ext cx="57054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30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6200775" y="9629775"/>
          <a:ext cx="56197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11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28575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2</xdr:col>
      <xdr:colOff>9525</xdr:colOff>
      <xdr:row>11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8575" y="180975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762750" y="266700"/>
          <a:ext cx="0" cy="1543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11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00775" y="180975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11</xdr:row>
      <xdr:rowOff>0</xdr:rowOff>
    </xdr:from>
    <xdr:to>
      <xdr:col>1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8575" y="1809750"/>
          <a:ext cx="0" cy="7258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11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6762750" y="1809750"/>
          <a:ext cx="0" cy="72580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26</xdr:row>
      <xdr:rowOff>0</xdr:rowOff>
    </xdr:from>
    <xdr:to>
      <xdr:col>2</xdr:col>
      <xdr:colOff>9525</xdr:colOff>
      <xdr:row>29</xdr:row>
      <xdr:rowOff>0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28575" y="9067800"/>
          <a:ext cx="4667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26</xdr:row>
      <xdr:rowOff>0</xdr:rowOff>
    </xdr:from>
    <xdr:to>
      <xdr:col>1</xdr:col>
      <xdr:colOff>0</xdr:colOff>
      <xdr:row>29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575" y="9067800"/>
          <a:ext cx="0" cy="5619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0</xdr:colOff>
      <xdr:row>26</xdr:row>
      <xdr:rowOff>0</xdr:rowOff>
    </xdr:from>
    <xdr:to>
      <xdr:col>2</xdr:col>
      <xdr:colOff>9525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575" y="9067800"/>
          <a:ext cx="4667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26" name="Rectangle 25"/>
        <xdr:cNvSpPr>
          <a:spLocks noChangeArrowheads="1"/>
        </xdr:cNvSpPr>
      </xdr:nvSpPr>
      <xdr:spPr bwMode="auto">
        <a:xfrm>
          <a:off x="6200775" y="9067800"/>
          <a:ext cx="56197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18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6200775" y="9067800"/>
          <a:ext cx="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6200775" y="9067800"/>
          <a:ext cx="5619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5</xdr:row>
      <xdr:rowOff>0</xdr:rowOff>
    </xdr:from>
    <xdr:to>
      <xdr:col>3</xdr:col>
      <xdr:colOff>38100</xdr:colOff>
      <xdr:row>5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95300" y="657225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5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504950" y="657225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5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591175" y="657225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11</xdr:row>
      <xdr:rowOff>0</xdr:rowOff>
    </xdr:from>
    <xdr:to>
      <xdr:col>3</xdr:col>
      <xdr:colOff>38100</xdr:colOff>
      <xdr:row>11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95300" y="180975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11</xdr:row>
      <xdr:rowOff>0</xdr:rowOff>
    </xdr:from>
    <xdr:to>
      <xdr:col>4</xdr:col>
      <xdr:colOff>9525</xdr:colOff>
      <xdr:row>11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504950" y="180975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11</xdr:row>
      <xdr:rowOff>0</xdr:rowOff>
    </xdr:from>
    <xdr:to>
      <xdr:col>5</xdr:col>
      <xdr:colOff>9525</xdr:colOff>
      <xdr:row>11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591175" y="180975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17</xdr:row>
      <xdr:rowOff>0</xdr:rowOff>
    </xdr:from>
    <xdr:to>
      <xdr:col>3</xdr:col>
      <xdr:colOff>38100</xdr:colOff>
      <xdr:row>17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95300" y="262890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17</xdr:row>
      <xdr:rowOff>0</xdr:rowOff>
    </xdr:from>
    <xdr:to>
      <xdr:col>4</xdr:col>
      <xdr:colOff>9525</xdr:colOff>
      <xdr:row>17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1504950" y="262890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591175" y="262890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18</xdr:row>
      <xdr:rowOff>0</xdr:rowOff>
    </xdr:from>
    <xdr:to>
      <xdr:col>3</xdr:col>
      <xdr:colOff>38100</xdr:colOff>
      <xdr:row>18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495300" y="276225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18</xdr:row>
      <xdr:rowOff>0</xdr:rowOff>
    </xdr:from>
    <xdr:to>
      <xdr:col>4</xdr:col>
      <xdr:colOff>9525</xdr:colOff>
      <xdr:row>18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1504950" y="276225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5591175" y="276225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19</xdr:row>
      <xdr:rowOff>0</xdr:rowOff>
    </xdr:from>
    <xdr:to>
      <xdr:col>3</xdr:col>
      <xdr:colOff>38100</xdr:colOff>
      <xdr:row>19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95300" y="289560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19</xdr:row>
      <xdr:rowOff>0</xdr:rowOff>
    </xdr:from>
    <xdr:to>
      <xdr:col>4</xdr:col>
      <xdr:colOff>9525</xdr:colOff>
      <xdr:row>19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1504950" y="289560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591175" y="289560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20</xdr:row>
      <xdr:rowOff>0</xdr:rowOff>
    </xdr:from>
    <xdr:to>
      <xdr:col>3</xdr:col>
      <xdr:colOff>38100</xdr:colOff>
      <xdr:row>20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495300" y="302895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20</xdr:row>
      <xdr:rowOff>0</xdr:rowOff>
    </xdr:from>
    <xdr:to>
      <xdr:col>4</xdr:col>
      <xdr:colOff>9525</xdr:colOff>
      <xdr:row>20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1504950" y="302895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20</xdr:row>
      <xdr:rowOff>0</xdr:rowOff>
    </xdr:from>
    <xdr:to>
      <xdr:col>5</xdr:col>
      <xdr:colOff>9525</xdr:colOff>
      <xdr:row>20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5591175" y="302895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21</xdr:row>
      <xdr:rowOff>0</xdr:rowOff>
    </xdr:from>
    <xdr:to>
      <xdr:col>3</xdr:col>
      <xdr:colOff>38100</xdr:colOff>
      <xdr:row>21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95300" y="316230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21</xdr:row>
      <xdr:rowOff>0</xdr:rowOff>
    </xdr:from>
    <xdr:to>
      <xdr:col>4</xdr:col>
      <xdr:colOff>9525</xdr:colOff>
      <xdr:row>21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504950" y="316230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591175" y="316230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23</xdr:row>
      <xdr:rowOff>0</xdr:rowOff>
    </xdr:from>
    <xdr:to>
      <xdr:col>3</xdr:col>
      <xdr:colOff>38100</xdr:colOff>
      <xdr:row>23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495300" y="342900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23</xdr:row>
      <xdr:rowOff>0</xdr:rowOff>
    </xdr:from>
    <xdr:to>
      <xdr:col>4</xdr:col>
      <xdr:colOff>9525</xdr:colOff>
      <xdr:row>23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504950" y="342900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23</xdr:row>
      <xdr:rowOff>0</xdr:rowOff>
    </xdr:from>
    <xdr:to>
      <xdr:col>5</xdr:col>
      <xdr:colOff>9525</xdr:colOff>
      <xdr:row>23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5591175" y="342900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9525</xdr:colOff>
      <xdr:row>26</xdr:row>
      <xdr:rowOff>0</xdr:rowOff>
    </xdr:from>
    <xdr:to>
      <xdr:col>3</xdr:col>
      <xdr:colOff>38100</xdr:colOff>
      <xdr:row>26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495300" y="9067800"/>
          <a:ext cx="10096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38100</xdr:colOff>
      <xdr:row>26</xdr:row>
      <xdr:rowOff>0</xdr:rowOff>
    </xdr:from>
    <xdr:to>
      <xdr:col>4</xdr:col>
      <xdr:colOff>9525</xdr:colOff>
      <xdr:row>26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1504950" y="9067800"/>
          <a:ext cx="408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5591175" y="9067800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queryTables/queryTable1.xml><?xml version="1.0" encoding="utf-8"?>
<queryTable xmlns="http://schemas.openxmlformats.org/spreadsheetml/2006/main" name="(local) Ehlers vw_IssuesData" connectionId="1" autoFormatId="16" applyNumberFormats="0" applyBorderFormats="0" applyFontFormats="0" applyPatternFormats="0" applyAlignmentFormats="0" applyWidthHeightFormats="0">
  <queryTableRefresh nextId="36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35" name="Issuer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lIssuesData" displayName="tblIssuesData" ref="A1:E2" tableType="queryTable" totalsRowShown="0">
  <autoFilter ref="A1:E2"/>
  <tableColumns count="5">
    <tableColumn id="29" uniqueName="29" name="IssueID" queryTableFieldId="29"/>
    <tableColumn id="31" uniqueName="31" name="IssueName" queryTableFieldId="31"/>
    <tableColumn id="32" uniqueName="32" name="Amount" queryTableFieldId="32"/>
    <tableColumn id="33" uniqueName="33" name="SaleDate" queryTableFieldId="33"/>
    <tableColumn id="2" uniqueName="2" name="IssuerName" queryTableField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N36"/>
  <sheetViews>
    <sheetView defaultGridColor="0" colorId="22" zoomScale="150" zoomScaleNormal="150" workbookViewId="0">
      <selection activeCell="I15" sqref="I15"/>
    </sheetView>
  </sheetViews>
  <sheetFormatPr defaultColWidth="0" defaultRowHeight="15" zero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6" width="8.28515625" style="3" customWidth="1"/>
    <col min="7" max="7" width="3.42578125" style="3" customWidth="1"/>
    <col min="8" max="8" width="11.7109375" style="3" customWidth="1"/>
    <col min="9" max="9" width="68" style="3" customWidth="1"/>
    <col min="10" max="12" width="0.28515625" style="3" customWidth="1"/>
    <col min="13" max="13" width="8.140625" style="3" hidden="1" customWidth="1"/>
    <col min="14" max="16384" width="9.140625" style="3" hidden="1"/>
  </cols>
  <sheetData>
    <row r="1" spans="1:14" ht="30" customHeight="1" x14ac:dyDescent="0.25">
      <c r="A1" s="27" t="s">
        <v>42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4" ht="1.5" customHeight="1" x14ac:dyDescent="0.25">
      <c r="B2" s="29" t="s">
        <v>9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4" s="22" customFormat="1" ht="21.75" customHeight="1" x14ac:dyDescent="0.25">
      <c r="B3" s="29"/>
      <c r="C3" s="23"/>
      <c r="D3" s="31" t="s">
        <v>21</v>
      </c>
      <c r="E3" s="31"/>
      <c r="F3" s="31"/>
      <c r="G3" s="31"/>
      <c r="H3" s="31"/>
      <c r="I3" s="31"/>
      <c r="J3" s="23"/>
      <c r="K3" s="23"/>
      <c r="L3" s="24"/>
    </row>
    <row r="4" spans="1:14" ht="1.5" customHeight="1" x14ac:dyDescent="0.25">
      <c r="B4" s="29"/>
      <c r="C4" s="2"/>
      <c r="D4" s="2"/>
      <c r="E4" s="2"/>
      <c r="F4" s="2"/>
      <c r="G4" s="2"/>
      <c r="H4" s="7"/>
      <c r="I4" s="7"/>
      <c r="J4" s="7"/>
      <c r="K4" s="2"/>
      <c r="L4" s="13"/>
    </row>
    <row r="5" spans="1:14" ht="15.75" customHeight="1" x14ac:dyDescent="0.25">
      <c r="B5" s="29"/>
      <c r="C5" s="2"/>
      <c r="D5" s="2"/>
      <c r="E5" s="2"/>
      <c r="F5" s="2"/>
      <c r="G5" s="2"/>
      <c r="H5" s="14" t="s">
        <v>27</v>
      </c>
      <c r="I5" s="30" t="s">
        <v>150</v>
      </c>
      <c r="J5" s="7"/>
      <c r="K5" s="2"/>
      <c r="L5" s="13"/>
    </row>
    <row r="6" spans="1:14" x14ac:dyDescent="0.25">
      <c r="B6" s="29"/>
      <c r="C6" s="2"/>
      <c r="D6" s="2"/>
      <c r="E6" s="2"/>
      <c r="F6" s="2"/>
      <c r="G6" s="2"/>
      <c r="H6" s="14"/>
      <c r="I6" s="30"/>
      <c r="J6" s="7"/>
      <c r="K6" s="2"/>
      <c r="L6" s="13"/>
    </row>
    <row r="7" spans="1:14" x14ac:dyDescent="0.25">
      <c r="B7" s="29"/>
      <c r="C7" s="2"/>
      <c r="D7" s="2"/>
      <c r="E7" s="2"/>
      <c r="F7" s="2"/>
      <c r="G7" s="2"/>
      <c r="H7" s="7"/>
      <c r="I7" s="30"/>
      <c r="J7" s="7"/>
      <c r="K7" s="2"/>
      <c r="L7" s="13"/>
    </row>
    <row r="8" spans="1:14" ht="1.5" customHeight="1" x14ac:dyDescent="0.25">
      <c r="B8" s="29"/>
      <c r="C8" s="2"/>
      <c r="D8" s="2"/>
      <c r="E8" s="2"/>
      <c r="F8" s="2"/>
      <c r="G8" s="2"/>
      <c r="H8" s="7"/>
      <c r="I8" s="7"/>
      <c r="J8" s="7"/>
      <c r="K8" s="2"/>
      <c r="L8" s="13"/>
    </row>
    <row r="9" spans="1:14" ht="1.5" customHeight="1" x14ac:dyDescent="0.25">
      <c r="B9" s="29"/>
      <c r="C9" s="2"/>
      <c r="D9" s="2"/>
      <c r="E9" s="2"/>
      <c r="F9" s="2"/>
      <c r="G9" s="2"/>
      <c r="H9" s="2"/>
      <c r="I9" s="2"/>
      <c r="J9" s="2"/>
      <c r="K9" s="2"/>
      <c r="L9" s="13"/>
      <c r="M9"/>
      <c r="N9"/>
    </row>
    <row r="10" spans="1:14" ht="1.5" customHeight="1" x14ac:dyDescent="0.25">
      <c r="B10" s="29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4" ht="7.5" customHeight="1" x14ac:dyDescent="0.25"/>
    <row r="12" spans="1:14" ht="1.5" customHeight="1" x14ac:dyDescent="0.25">
      <c r="B12" s="29" t="s">
        <v>10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4" s="22" customFormat="1" ht="22.5" customHeight="1" x14ac:dyDescent="0.25">
      <c r="B13" s="29"/>
      <c r="C13" s="23"/>
      <c r="D13" s="31" t="s">
        <v>29</v>
      </c>
      <c r="E13" s="31"/>
      <c r="F13" s="31"/>
      <c r="G13" s="31"/>
      <c r="H13" s="31"/>
      <c r="I13" s="31"/>
      <c r="J13" s="23"/>
      <c r="K13" s="23"/>
      <c r="L13" s="24"/>
    </row>
    <row r="14" spans="1:14" ht="1.5" customHeight="1" x14ac:dyDescent="0.25">
      <c r="B14" s="29"/>
      <c r="C14" s="2"/>
      <c r="D14" s="2"/>
      <c r="E14" s="2"/>
      <c r="F14" s="2"/>
      <c r="G14" s="2"/>
      <c r="H14" s="6"/>
      <c r="I14" s="6"/>
      <c r="J14" s="6"/>
      <c r="K14" s="2"/>
      <c r="L14" s="13"/>
    </row>
    <row r="15" spans="1:14" ht="15" customHeight="1" x14ac:dyDescent="0.25">
      <c r="B15" s="29"/>
      <c r="C15" s="2"/>
      <c r="D15" s="2"/>
      <c r="E15" s="2"/>
      <c r="F15" s="2"/>
      <c r="G15" s="2"/>
      <c r="H15" s="6" t="s">
        <v>28</v>
      </c>
      <c r="I15" s="17">
        <v>36587</v>
      </c>
      <c r="J15" s="6"/>
      <c r="K15" s="2"/>
      <c r="L15" s="13"/>
    </row>
    <row r="16" spans="1:14" x14ac:dyDescent="0.25">
      <c r="B16" s="29"/>
      <c r="C16" s="2"/>
      <c r="D16" s="2"/>
      <c r="E16" s="2"/>
      <c r="F16" s="2"/>
      <c r="G16" s="2"/>
      <c r="H16" s="6" t="s">
        <v>23</v>
      </c>
      <c r="I16" s="18" t="s">
        <v>41</v>
      </c>
      <c r="J16" s="6"/>
      <c r="K16" s="2"/>
      <c r="L16" s="13"/>
    </row>
    <row r="17" spans="2:12" x14ac:dyDescent="0.25">
      <c r="B17" s="29"/>
      <c r="C17" s="2"/>
      <c r="D17" s="2"/>
      <c r="E17" s="2"/>
      <c r="F17" s="2"/>
      <c r="G17" s="2"/>
      <c r="H17" s="6" t="s">
        <v>24</v>
      </c>
      <c r="I17" s="18" t="s">
        <v>44</v>
      </c>
      <c r="J17" s="6"/>
      <c r="K17" s="2"/>
      <c r="L17" s="13"/>
    </row>
    <row r="18" spans="2:12" ht="15" customHeight="1" x14ac:dyDescent="0.25">
      <c r="B18" s="29"/>
      <c r="C18" s="2"/>
      <c r="D18" s="2"/>
      <c r="E18" s="2"/>
      <c r="F18" s="2"/>
      <c r="G18" s="2"/>
      <c r="H18" s="6" t="s">
        <v>25</v>
      </c>
      <c r="I18" s="19">
        <v>1055000</v>
      </c>
      <c r="J18" s="6"/>
      <c r="K18" s="2"/>
      <c r="L18" s="13"/>
    </row>
    <row r="19" spans="2:12" ht="15" customHeight="1" x14ac:dyDescent="0.25">
      <c r="B19" s="29"/>
      <c r="C19" s="2"/>
      <c r="D19" s="2"/>
      <c r="E19" s="2"/>
      <c r="F19" s="2"/>
      <c r="G19" s="2"/>
      <c r="H19" s="6" t="s">
        <v>22</v>
      </c>
      <c r="I19" s="20">
        <v>40428</v>
      </c>
      <c r="J19" s="6"/>
      <c r="K19" s="2"/>
      <c r="L19" s="13"/>
    </row>
    <row r="20" spans="2:12" ht="1.5" customHeight="1" x14ac:dyDescent="0.25">
      <c r="B20" s="29"/>
      <c r="C20" s="2"/>
      <c r="D20" s="2"/>
      <c r="E20" s="2"/>
      <c r="F20" s="2"/>
      <c r="G20" s="2"/>
      <c r="H20" s="6"/>
      <c r="I20" s="6"/>
      <c r="J20" s="6"/>
      <c r="K20" s="2"/>
      <c r="L20" s="13"/>
    </row>
    <row r="21" spans="2:12" ht="1.5" customHeight="1" x14ac:dyDescent="0.25">
      <c r="B21" s="29"/>
      <c r="C21" s="2"/>
      <c r="D21" s="2"/>
      <c r="E21" s="2"/>
      <c r="F21" s="2"/>
      <c r="G21" s="2"/>
      <c r="H21" s="2"/>
      <c r="I21" s="2"/>
      <c r="J21" s="2"/>
      <c r="K21" s="2"/>
      <c r="L21" s="13"/>
    </row>
    <row r="22" spans="2:12" ht="1.5" customHeight="1" x14ac:dyDescent="0.25">
      <c r="B22" s="29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2:12" ht="7.5" customHeight="1" x14ac:dyDescent="0.25">
      <c r="H23" s="4"/>
      <c r="I23" s="5"/>
      <c r="J23" s="5"/>
      <c r="K23" s="5"/>
      <c r="L23" s="5"/>
    </row>
    <row r="24" spans="2:12" ht="1.5" customHeight="1" x14ac:dyDescent="0.25">
      <c r="B24" s="29" t="s">
        <v>11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2:12" ht="22.5" customHeight="1" x14ac:dyDescent="0.25">
      <c r="B25" s="29"/>
      <c r="C25" s="2"/>
      <c r="D25" s="31" t="s">
        <v>26</v>
      </c>
      <c r="E25" s="31"/>
      <c r="F25" s="31"/>
      <c r="G25" s="31"/>
      <c r="H25" s="31"/>
      <c r="I25" s="31"/>
      <c r="J25" s="2"/>
      <c r="K25" s="2"/>
      <c r="L25" s="13"/>
    </row>
    <row r="26" spans="2:12" ht="11.25" customHeight="1" x14ac:dyDescent="0.25">
      <c r="B26" s="29"/>
      <c r="C26" s="2"/>
      <c r="D26" s="2"/>
      <c r="E26" s="2"/>
      <c r="F26" s="2"/>
      <c r="G26" s="2"/>
      <c r="H26" s="2"/>
      <c r="I26" s="2"/>
      <c r="J26" s="2"/>
      <c r="K26" s="2"/>
      <c r="L26" s="13"/>
    </row>
    <row r="27" spans="2:12" ht="11.25" customHeight="1" x14ac:dyDescent="0.25">
      <c r="B27" s="29"/>
      <c r="C27" s="2"/>
      <c r="D27" s="2"/>
      <c r="E27" s="2"/>
      <c r="F27" s="2"/>
      <c r="G27" s="2"/>
      <c r="H27" s="2"/>
      <c r="I27" s="2"/>
      <c r="J27" s="2"/>
      <c r="K27" s="2"/>
      <c r="L27" s="13"/>
    </row>
    <row r="28" spans="2:12" ht="11.25" customHeight="1" x14ac:dyDescent="0.25">
      <c r="B28" s="29"/>
      <c r="C28" s="2"/>
      <c r="D28" s="2"/>
      <c r="E28" s="2"/>
      <c r="F28" s="2"/>
      <c r="G28" s="2"/>
      <c r="H28" s="2"/>
      <c r="I28" s="2"/>
      <c r="J28" s="2"/>
      <c r="K28" s="2"/>
      <c r="L28" s="13"/>
    </row>
    <row r="29" spans="2:12" ht="1.5" customHeight="1" x14ac:dyDescent="0.25">
      <c r="B29" s="29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2:12" ht="7.5" customHeight="1" x14ac:dyDescent="0.25"/>
    <row r="31" spans="2:12" ht="7.5" customHeight="1" x14ac:dyDescent="0.25">
      <c r="B31" s="28" t="s">
        <v>16</v>
      </c>
      <c r="C31" s="28"/>
      <c r="D31" s="28"/>
    </row>
    <row r="32" spans="2:12" ht="7.5" customHeight="1" x14ac:dyDescent="0.25"/>
    <row r="33" hidden="1" x14ac:dyDescent="0.25"/>
    <row r="34" hidden="1" x14ac:dyDescent="0.25"/>
    <row r="35" hidden="1" x14ac:dyDescent="0.25"/>
    <row r="36" hidden="1" x14ac:dyDescent="0.25"/>
  </sheetData>
  <mergeCells count="8">
    <mergeCell ref="B31:D31"/>
    <mergeCell ref="B2:B10"/>
    <mergeCell ref="B12:B22"/>
    <mergeCell ref="I5:I7"/>
    <mergeCell ref="D13:I13"/>
    <mergeCell ref="D3:I3"/>
    <mergeCell ref="D25:I25"/>
    <mergeCell ref="B24:B29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getMunexFile">
                <anchor>
                  <from>
                    <xdr:col>3</xdr:col>
                    <xdr:colOff>209550</xdr:colOff>
                    <xdr:row>4</xdr:row>
                    <xdr:rowOff>28575</xdr:rowOff>
                  </from>
                  <to>
                    <xdr:col>6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IssueData">
                <anchor>
                  <from>
                    <xdr:col>3</xdr:col>
                    <xdr:colOff>219075</xdr:colOff>
                    <xdr:row>14</xdr:row>
                    <xdr:rowOff>28575</xdr:rowOff>
                  </from>
                  <to>
                    <xdr:col>6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'switchSheets &quot;Purposes&quot;'">
                <anchor>
                  <from>
                    <xdr:col>3</xdr:col>
                    <xdr:colOff>447675</xdr:colOff>
                    <xdr:row>25</xdr:row>
                    <xdr:rowOff>76200</xdr:rowOff>
                  </from>
                  <to>
                    <xdr:col>5</xdr:col>
                    <xdr:colOff>371475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>
                  <from>
                    <xdr:col>6</xdr:col>
                    <xdr:colOff>38100</xdr:colOff>
                    <xdr:row>25</xdr:row>
                    <xdr:rowOff>76200</xdr:rowOff>
                  </from>
                  <to>
                    <xdr:col>8</xdr:col>
                    <xdr:colOff>47625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A1:S28"/>
  <sheetViews>
    <sheetView defaultGridColor="0" colorId="31" zoomScale="150" zoomScaleNormal="150" workbookViewId="0">
      <selection activeCell="U18" sqref="U18"/>
    </sheetView>
  </sheetViews>
  <sheetFormatPr defaultColWidth="9.140625" defaultRowHeight="15" custom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4" width="13.7109375" style="3" customWidth="1"/>
    <col min="5" max="5" width="9.140625" style="3" customWidth="1"/>
    <col min="6" max="6" width="1.5703125" style="3" customWidth="1"/>
    <col min="7" max="7" width="5.28515625" style="3" customWidth="1"/>
    <col min="8" max="8" width="0.85546875" style="3" customWidth="1"/>
    <col min="9" max="9" width="3.5703125" style="3" customWidth="1"/>
    <col min="10" max="10" width="6.140625" style="3" customWidth="1"/>
    <col min="11" max="11" width="18.28515625" style="3" customWidth="1"/>
    <col min="12" max="12" width="0.28515625" style="3" customWidth="1"/>
    <col min="13" max="13" width="0.7109375" style="3" customWidth="1"/>
    <col min="14" max="14" width="8.140625" style="3" customWidth="1"/>
    <col min="15" max="15" width="1.42578125" style="3" customWidth="1"/>
    <col min="16" max="16" width="36.140625" style="3" customWidth="1"/>
    <col min="17" max="19" width="0.28515625" style="3" customWidth="1"/>
    <col min="20" max="20" width="3.5703125" style="3" customWidth="1"/>
    <col min="21" max="16384" width="9.140625" style="3"/>
  </cols>
  <sheetData>
    <row r="1" spans="1:19" ht="30" customHeight="1" x14ac:dyDescent="0.25">
      <c r="A1" s="27" t="s">
        <v>42</v>
      </c>
    </row>
    <row r="2" spans="1:19" ht="18.75" customHeight="1" x14ac:dyDescent="0.25">
      <c r="B2" s="16" t="str">
        <f xml:space="preserve"> Issuer</f>
        <v>Mendota Heights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  <row r="3" spans="1:19" ht="18.75" customHeight="1" x14ac:dyDescent="0.25">
      <c r="B3" s="16" t="str">
        <f>IssueName</f>
        <v>General Obligation Improvement Bonds, Series 2010A</v>
      </c>
      <c r="C3" s="11"/>
      <c r="D3" s="11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</row>
    <row r="4" spans="1:19" ht="18.75" customHeight="1" x14ac:dyDescent="0.25">
      <c r="B4" s="32">
        <f>IssueAmount</f>
        <v>1055000</v>
      </c>
      <c r="C4" s="32"/>
      <c r="D4" s="32"/>
      <c r="E4" s="33">
        <f>SaleDate</f>
        <v>40428</v>
      </c>
      <c r="F4" s="33"/>
      <c r="G4" s="33"/>
      <c r="H4" s="10"/>
      <c r="I4" s="10"/>
      <c r="J4" s="8"/>
      <c r="K4" s="8"/>
      <c r="L4" s="8"/>
      <c r="M4" s="8"/>
      <c r="N4" s="8"/>
      <c r="O4" s="8"/>
      <c r="P4" s="8"/>
      <c r="Q4" s="8"/>
      <c r="R4" s="8"/>
      <c r="S4" s="8"/>
    </row>
    <row r="5" spans="1:19" ht="18.75" customHeight="1" x14ac:dyDescent="0.25">
      <c r="B5" s="9"/>
      <c r="C5" s="9"/>
      <c r="D5" s="9"/>
      <c r="E5" s="10"/>
      <c r="F5" s="10"/>
      <c r="G5" s="10"/>
      <c r="H5" s="10"/>
      <c r="I5" s="10"/>
      <c r="J5" s="8"/>
      <c r="K5" s="8"/>
      <c r="L5" s="8"/>
      <c r="M5" s="8"/>
      <c r="N5" s="8"/>
      <c r="O5" s="8"/>
      <c r="P5" s="8"/>
      <c r="Q5" s="8"/>
      <c r="R5" s="8"/>
      <c r="S5" s="8"/>
    </row>
    <row r="6" spans="1:19" ht="3.75" customHeight="1" x14ac:dyDescent="0.25"/>
    <row r="7" spans="1:19" ht="1.5" customHeight="1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19" ht="1.5" customHeight="1" x14ac:dyDescent="0.25">
      <c r="B8" s="29" t="s">
        <v>12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13"/>
    </row>
    <row r="9" spans="1:19" ht="22.5" customHeight="1" x14ac:dyDescent="0.25">
      <c r="B9" s="29"/>
      <c r="C9" s="8"/>
      <c r="D9" s="23" t="s">
        <v>31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13"/>
    </row>
    <row r="10" spans="1:19" ht="15" customHeight="1" x14ac:dyDescent="0.25">
      <c r="B10" s="29"/>
      <c r="C10" s="8"/>
      <c r="D10" s="8"/>
      <c r="E10" s="8"/>
      <c r="F10" s="8"/>
      <c r="G10" s="34" t="str">
        <f>IssueName</f>
        <v>General Obligation Improvement Bonds, Series 2010A</v>
      </c>
      <c r="H10" s="34"/>
      <c r="I10" s="34"/>
      <c r="J10" s="34"/>
      <c r="K10" s="34"/>
      <c r="L10" s="26"/>
      <c r="M10" s="26"/>
      <c r="N10" s="26"/>
      <c r="O10" s="26"/>
      <c r="P10" s="26"/>
      <c r="Q10" s="12"/>
      <c r="R10" s="8"/>
      <c r="S10" s="13"/>
    </row>
    <row r="11" spans="1:19" ht="12" customHeight="1" x14ac:dyDescent="0.25">
      <c r="B11" s="29"/>
      <c r="C11" s="8"/>
      <c r="D11" s="8"/>
      <c r="E11" s="8"/>
      <c r="F11" s="8"/>
      <c r="G11" s="25" t="s">
        <v>32</v>
      </c>
      <c r="H11" s="15"/>
      <c r="I11" s="35" t="s">
        <v>44</v>
      </c>
      <c r="J11" s="35"/>
      <c r="K11" s="35"/>
      <c r="L11" s="35"/>
      <c r="M11" s="35"/>
      <c r="N11" s="35"/>
      <c r="O11" s="35"/>
      <c r="P11" s="35"/>
      <c r="Q11" s="12"/>
      <c r="R11" s="8"/>
      <c r="S11" s="13"/>
    </row>
    <row r="12" spans="1:19" ht="12" customHeight="1" x14ac:dyDescent="0.25">
      <c r="B12" s="29"/>
      <c r="C12" s="8"/>
      <c r="D12" s="8"/>
      <c r="E12" s="8"/>
      <c r="F12" s="8"/>
      <c r="G12" s="25" t="s">
        <v>33</v>
      </c>
      <c r="H12" s="15"/>
      <c r="I12" s="35"/>
      <c r="J12" s="35"/>
      <c r="K12" s="35"/>
      <c r="L12" s="35"/>
      <c r="M12" s="35"/>
      <c r="N12" s="35"/>
      <c r="O12" s="35"/>
      <c r="P12" s="35"/>
      <c r="Q12" s="12"/>
      <c r="R12" s="8"/>
      <c r="S12" s="13"/>
    </row>
    <row r="13" spans="1:19" ht="12" customHeight="1" x14ac:dyDescent="0.25">
      <c r="B13" s="29"/>
      <c r="C13" s="8"/>
      <c r="D13" s="8"/>
      <c r="E13" s="8"/>
      <c r="F13" s="8"/>
      <c r="G13" s="25" t="s">
        <v>34</v>
      </c>
      <c r="H13" s="15"/>
      <c r="I13" s="35"/>
      <c r="J13" s="35"/>
      <c r="K13" s="35"/>
      <c r="L13" s="35"/>
      <c r="M13" s="35"/>
      <c r="N13" s="35"/>
      <c r="O13" s="35"/>
      <c r="P13" s="35"/>
      <c r="Q13" s="12"/>
      <c r="R13" s="8"/>
      <c r="S13" s="13"/>
    </row>
    <row r="14" spans="1:19" ht="12" customHeight="1" x14ac:dyDescent="0.25">
      <c r="B14" s="29"/>
      <c r="C14" s="8"/>
      <c r="D14" s="8"/>
      <c r="E14" s="8"/>
      <c r="F14" s="8"/>
      <c r="G14" s="25" t="s">
        <v>35</v>
      </c>
      <c r="H14" s="15"/>
      <c r="I14" s="35"/>
      <c r="J14" s="35"/>
      <c r="K14" s="35"/>
      <c r="L14" s="35"/>
      <c r="M14" s="35"/>
      <c r="N14" s="35"/>
      <c r="O14" s="35"/>
      <c r="P14" s="35"/>
      <c r="Q14" s="12"/>
      <c r="R14" s="8"/>
      <c r="S14" s="13"/>
    </row>
    <row r="15" spans="1:19" ht="12" customHeight="1" x14ac:dyDescent="0.25">
      <c r="B15" s="29"/>
      <c r="C15" s="8"/>
      <c r="D15" s="8"/>
      <c r="E15" s="8"/>
      <c r="F15" s="8"/>
      <c r="G15" s="25" t="s">
        <v>36</v>
      </c>
      <c r="H15" s="15"/>
      <c r="I15" s="35"/>
      <c r="J15" s="35"/>
      <c r="K15" s="35"/>
      <c r="L15" s="35"/>
      <c r="M15" s="35"/>
      <c r="N15" s="35"/>
      <c r="O15" s="35"/>
      <c r="P15" s="35"/>
      <c r="Q15" s="12"/>
      <c r="R15" s="8"/>
      <c r="S15" s="13"/>
    </row>
    <row r="16" spans="1:19" ht="12" customHeight="1" x14ac:dyDescent="0.25">
      <c r="B16" s="29"/>
      <c r="C16" s="8"/>
      <c r="D16" s="8"/>
      <c r="E16" s="8"/>
      <c r="F16" s="8"/>
      <c r="G16" s="25" t="s">
        <v>37</v>
      </c>
      <c r="H16" s="15"/>
      <c r="I16" s="35"/>
      <c r="J16" s="35"/>
      <c r="K16" s="35"/>
      <c r="L16" s="35"/>
      <c r="M16" s="35"/>
      <c r="N16" s="35"/>
      <c r="O16" s="35"/>
      <c r="P16" s="35"/>
      <c r="Q16" s="12"/>
      <c r="R16" s="8"/>
      <c r="S16" s="13"/>
    </row>
    <row r="17" spans="2:19" ht="12" customHeight="1" x14ac:dyDescent="0.25">
      <c r="B17" s="29"/>
      <c r="C17" s="8"/>
      <c r="D17" s="8"/>
      <c r="E17" s="8"/>
      <c r="F17" s="8"/>
      <c r="G17" s="25" t="s">
        <v>38</v>
      </c>
      <c r="H17" s="15"/>
      <c r="I17" s="35"/>
      <c r="J17" s="35"/>
      <c r="K17" s="35"/>
      <c r="L17" s="35"/>
      <c r="M17" s="35"/>
      <c r="N17" s="35"/>
      <c r="O17" s="35"/>
      <c r="P17" s="35"/>
      <c r="Q17" s="12"/>
      <c r="R17" s="8"/>
      <c r="S17" s="13"/>
    </row>
    <row r="18" spans="2:19" ht="12" customHeight="1" x14ac:dyDescent="0.25">
      <c r="B18" s="29"/>
      <c r="C18" s="8"/>
      <c r="D18" s="8"/>
      <c r="E18" s="8"/>
      <c r="F18" s="8"/>
      <c r="G18" s="25" t="s">
        <v>39</v>
      </c>
      <c r="H18" s="15"/>
      <c r="I18" s="35"/>
      <c r="J18" s="35"/>
      <c r="K18" s="35"/>
      <c r="L18" s="35"/>
      <c r="M18" s="35"/>
      <c r="N18" s="35"/>
      <c r="O18" s="35"/>
      <c r="P18" s="35"/>
      <c r="Q18" s="12"/>
      <c r="R18" s="8"/>
      <c r="S18" s="13"/>
    </row>
    <row r="19" spans="2:19" ht="12" customHeight="1" x14ac:dyDescent="0.25">
      <c r="B19" s="29"/>
      <c r="C19" s="8"/>
      <c r="D19" s="8"/>
      <c r="E19" s="8"/>
      <c r="F19" s="8"/>
      <c r="G19" s="25" t="s">
        <v>40</v>
      </c>
      <c r="H19" s="15"/>
      <c r="I19" s="35"/>
      <c r="J19" s="35"/>
      <c r="K19" s="35"/>
      <c r="L19" s="35"/>
      <c r="M19" s="35"/>
      <c r="N19" s="35"/>
      <c r="O19" s="35"/>
      <c r="P19" s="35"/>
      <c r="Q19" s="12"/>
      <c r="R19" s="8"/>
      <c r="S19" s="13"/>
    </row>
    <row r="20" spans="2:19" ht="1.5" customHeight="1" x14ac:dyDescent="0.25">
      <c r="B20" s="29"/>
      <c r="C20" s="8"/>
      <c r="D20" s="8"/>
      <c r="E20" s="8"/>
      <c r="F20" s="8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8"/>
      <c r="S20" s="13"/>
    </row>
    <row r="21" spans="2:19" ht="1.5" customHeight="1" x14ac:dyDescent="0.25">
      <c r="B21" s="2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13"/>
    </row>
    <row r="22" spans="2:19" ht="1.5" customHeight="1" x14ac:dyDescent="0.25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</row>
    <row r="23" spans="2:19" ht="3" customHeight="1" x14ac:dyDescent="0.25"/>
    <row r="24" spans="2:19" ht="1.5" customHeight="1" x14ac:dyDescent="0.25">
      <c r="B24" s="29" t="s">
        <v>13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N24" s="13"/>
      <c r="O24" s="13"/>
      <c r="P24" s="13"/>
      <c r="Q24" s="13"/>
      <c r="R24" s="13"/>
      <c r="S24" s="13"/>
    </row>
    <row r="25" spans="2:19" ht="22.5" customHeight="1" x14ac:dyDescent="0.25">
      <c r="B25" s="29"/>
      <c r="C25" s="2"/>
      <c r="D25" s="8" t="s">
        <v>43</v>
      </c>
      <c r="E25" s="8"/>
      <c r="F25" s="8"/>
      <c r="G25" s="8"/>
      <c r="H25" s="8"/>
      <c r="I25" s="8"/>
      <c r="J25" s="8"/>
      <c r="K25" s="8"/>
      <c r="L25" s="13"/>
      <c r="N25" s="29" t="s">
        <v>14</v>
      </c>
      <c r="O25" s="8"/>
      <c r="P25" s="31" t="s">
        <v>15</v>
      </c>
      <c r="Q25" s="31"/>
      <c r="R25" s="31"/>
      <c r="S25" s="13"/>
    </row>
    <row r="26" spans="2:19" ht="15" customHeight="1" x14ac:dyDescent="0.25">
      <c r="B26" s="29"/>
      <c r="C26" s="2"/>
      <c r="D26" s="2"/>
      <c r="E26" s="2"/>
      <c r="F26" s="2"/>
      <c r="G26" s="2"/>
      <c r="H26" s="2"/>
      <c r="I26" s="2"/>
      <c r="J26" s="2"/>
      <c r="K26" s="2"/>
      <c r="L26" s="13"/>
      <c r="N26" s="29"/>
      <c r="O26" s="2"/>
      <c r="P26" s="2"/>
      <c r="Q26" s="2"/>
      <c r="R26" s="2"/>
      <c r="S26" s="13"/>
    </row>
    <row r="27" spans="2:19" ht="15" customHeight="1" x14ac:dyDescent="0.25">
      <c r="B27" s="29"/>
      <c r="C27" s="2"/>
      <c r="D27" s="2"/>
      <c r="E27" s="2"/>
      <c r="F27" s="2"/>
      <c r="G27" s="2"/>
      <c r="H27" s="2"/>
      <c r="I27" s="2"/>
      <c r="J27" s="2"/>
      <c r="K27" s="2"/>
      <c r="L27" s="13"/>
      <c r="N27" s="29"/>
      <c r="O27" s="2"/>
      <c r="P27" s="2"/>
      <c r="Q27" s="2"/>
      <c r="R27" s="2"/>
      <c r="S27" s="13"/>
    </row>
    <row r="28" spans="2:19" ht="1.5" customHeight="1" x14ac:dyDescent="0.25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N28" s="29"/>
      <c r="O28" s="13"/>
      <c r="P28" s="13"/>
      <c r="Q28" s="13"/>
      <c r="R28" s="13"/>
      <c r="S28" s="13"/>
    </row>
  </sheetData>
  <mergeCells count="16">
    <mergeCell ref="N25:N28"/>
    <mergeCell ref="P25:R25"/>
    <mergeCell ref="I11:P11"/>
    <mergeCell ref="I12:P12"/>
    <mergeCell ref="I13:P13"/>
    <mergeCell ref="I14:P14"/>
    <mergeCell ref="I15:P15"/>
    <mergeCell ref="I16:P16"/>
    <mergeCell ref="I17:P17"/>
    <mergeCell ref="I18:P18"/>
    <mergeCell ref="I19:P19"/>
    <mergeCell ref="B24:B27"/>
    <mergeCell ref="B8:B21"/>
    <mergeCell ref="B4:D4"/>
    <mergeCell ref="E4:G4"/>
    <mergeCell ref="G10:K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Button 9">
              <controlPr defaultSize="0" print="0" autoFill="0" autoPict="0" macro="[0]!getPurposesFromMunex">
                <anchor>
                  <from>
                    <xdr:col>3</xdr:col>
                    <xdr:colOff>95250</xdr:colOff>
                    <xdr:row>9</xdr:row>
                    <xdr:rowOff>66675</xdr:rowOff>
                  </from>
                  <to>
                    <xdr:col>5</xdr:col>
                    <xdr:colOff>19050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getPurposesFromMunex">
                <anchor>
                  <from>
                    <xdr:col>3</xdr:col>
                    <xdr:colOff>95250</xdr:colOff>
                    <xdr:row>24</xdr:row>
                    <xdr:rowOff>285750</xdr:rowOff>
                  </from>
                  <to>
                    <xdr:col>5</xdr:col>
                    <xdr:colOff>19050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getPurposesFromMunex">
                <anchor>
                  <from>
                    <xdr:col>15</xdr:col>
                    <xdr:colOff>161925</xdr:colOff>
                    <xdr:row>24</xdr:row>
                    <xdr:rowOff>285750</xdr:rowOff>
                  </from>
                  <to>
                    <xdr:col>15</xdr:col>
                    <xdr:colOff>1609725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1:C10"/>
  <sheetViews>
    <sheetView workbookViewId="0">
      <selection activeCell="B23" sqref="B23"/>
    </sheetView>
  </sheetViews>
  <sheetFormatPr defaultRowHeight="15" x14ac:dyDescent="0.25"/>
  <cols>
    <col min="2" max="2" width="19.140625" bestFit="1" customWidth="1"/>
    <col min="3" max="3" width="14.5703125" customWidth="1"/>
  </cols>
  <sheetData>
    <row r="1" spans="1:3" x14ac:dyDescent="0.25">
      <c r="A1" t="s">
        <v>1</v>
      </c>
    </row>
    <row r="4" spans="1:3" x14ac:dyDescent="0.25">
      <c r="B4" t="s">
        <v>4</v>
      </c>
      <c r="C4" t="s">
        <v>5</v>
      </c>
    </row>
    <row r="5" spans="1:3" x14ac:dyDescent="0.25">
      <c r="B5" t="s">
        <v>2</v>
      </c>
      <c r="C5" t="s">
        <v>6</v>
      </c>
    </row>
    <row r="6" spans="1:3" x14ac:dyDescent="0.25">
      <c r="B6" t="s">
        <v>3</v>
      </c>
      <c r="C6" t="s">
        <v>0</v>
      </c>
    </row>
    <row r="9" spans="1:3" x14ac:dyDescent="0.25">
      <c r="B9" t="s">
        <v>7</v>
      </c>
      <c r="C9" s="1" t="s">
        <v>151</v>
      </c>
    </row>
    <row r="10" spans="1:3" x14ac:dyDescent="0.25">
      <c r="B10" t="s">
        <v>8</v>
      </c>
      <c r="C10" s="1" t="s">
        <v>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35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28.7109375" style="36" customWidth="1"/>
    <col min="4" max="4" width="45.5703125" style="36" customWidth="1"/>
    <col min="5" max="5" width="11.42578125" style="36" customWidth="1"/>
    <col min="6" max="6" width="8.5703125" style="36" customWidth="1"/>
    <col min="7" max="8" width="0.42578125" style="36" customWidth="1"/>
    <col min="9" max="9" width="9.140625" style="36" customWidth="1"/>
    <col min="10" max="256" width="13.28515625" style="36"/>
    <col min="257" max="257" width="0.42578125" style="36" customWidth="1"/>
    <col min="258" max="258" width="6.85546875" style="36" customWidth="1"/>
    <col min="259" max="259" width="28.7109375" style="36" customWidth="1"/>
    <col min="260" max="260" width="45.5703125" style="36" customWidth="1"/>
    <col min="261" max="261" width="11.42578125" style="36" customWidth="1"/>
    <col min="262" max="262" width="8.5703125" style="36" customWidth="1"/>
    <col min="263" max="264" width="0.42578125" style="36" customWidth="1"/>
    <col min="265" max="265" width="9.140625" style="36" customWidth="1"/>
    <col min="266" max="512" width="13.28515625" style="36"/>
    <col min="513" max="513" width="0.42578125" style="36" customWidth="1"/>
    <col min="514" max="514" width="6.85546875" style="36" customWidth="1"/>
    <col min="515" max="515" width="28.7109375" style="36" customWidth="1"/>
    <col min="516" max="516" width="45.5703125" style="36" customWidth="1"/>
    <col min="517" max="517" width="11.42578125" style="36" customWidth="1"/>
    <col min="518" max="518" width="8.5703125" style="36" customWidth="1"/>
    <col min="519" max="520" width="0.42578125" style="36" customWidth="1"/>
    <col min="521" max="521" width="9.140625" style="36" customWidth="1"/>
    <col min="522" max="768" width="13.28515625" style="36"/>
    <col min="769" max="769" width="0.42578125" style="36" customWidth="1"/>
    <col min="770" max="770" width="6.85546875" style="36" customWidth="1"/>
    <col min="771" max="771" width="28.7109375" style="36" customWidth="1"/>
    <col min="772" max="772" width="45.5703125" style="36" customWidth="1"/>
    <col min="773" max="773" width="11.42578125" style="36" customWidth="1"/>
    <col min="774" max="774" width="8.5703125" style="36" customWidth="1"/>
    <col min="775" max="776" width="0.42578125" style="36" customWidth="1"/>
    <col min="777" max="777" width="9.140625" style="36" customWidth="1"/>
    <col min="778" max="1024" width="13.28515625" style="36"/>
    <col min="1025" max="1025" width="0.42578125" style="36" customWidth="1"/>
    <col min="1026" max="1026" width="6.85546875" style="36" customWidth="1"/>
    <col min="1027" max="1027" width="28.7109375" style="36" customWidth="1"/>
    <col min="1028" max="1028" width="45.5703125" style="36" customWidth="1"/>
    <col min="1029" max="1029" width="11.42578125" style="36" customWidth="1"/>
    <col min="1030" max="1030" width="8.5703125" style="36" customWidth="1"/>
    <col min="1031" max="1032" width="0.42578125" style="36" customWidth="1"/>
    <col min="1033" max="1033" width="9.140625" style="36" customWidth="1"/>
    <col min="1034" max="1280" width="13.28515625" style="36"/>
    <col min="1281" max="1281" width="0.42578125" style="36" customWidth="1"/>
    <col min="1282" max="1282" width="6.85546875" style="36" customWidth="1"/>
    <col min="1283" max="1283" width="28.7109375" style="36" customWidth="1"/>
    <col min="1284" max="1284" width="45.5703125" style="36" customWidth="1"/>
    <col min="1285" max="1285" width="11.42578125" style="36" customWidth="1"/>
    <col min="1286" max="1286" width="8.5703125" style="36" customWidth="1"/>
    <col min="1287" max="1288" width="0.42578125" style="36" customWidth="1"/>
    <col min="1289" max="1289" width="9.140625" style="36" customWidth="1"/>
    <col min="1290" max="1536" width="13.28515625" style="36"/>
    <col min="1537" max="1537" width="0.42578125" style="36" customWidth="1"/>
    <col min="1538" max="1538" width="6.85546875" style="36" customWidth="1"/>
    <col min="1539" max="1539" width="28.7109375" style="36" customWidth="1"/>
    <col min="1540" max="1540" width="45.5703125" style="36" customWidth="1"/>
    <col min="1541" max="1541" width="11.42578125" style="36" customWidth="1"/>
    <col min="1542" max="1542" width="8.5703125" style="36" customWidth="1"/>
    <col min="1543" max="1544" width="0.42578125" style="36" customWidth="1"/>
    <col min="1545" max="1545" width="9.140625" style="36" customWidth="1"/>
    <col min="1546" max="1792" width="13.28515625" style="36"/>
    <col min="1793" max="1793" width="0.42578125" style="36" customWidth="1"/>
    <col min="1794" max="1794" width="6.85546875" style="36" customWidth="1"/>
    <col min="1795" max="1795" width="28.7109375" style="36" customWidth="1"/>
    <col min="1796" max="1796" width="45.5703125" style="36" customWidth="1"/>
    <col min="1797" max="1797" width="11.42578125" style="36" customWidth="1"/>
    <col min="1798" max="1798" width="8.5703125" style="36" customWidth="1"/>
    <col min="1799" max="1800" width="0.42578125" style="36" customWidth="1"/>
    <col min="1801" max="1801" width="9.140625" style="36" customWidth="1"/>
    <col min="1802" max="2048" width="13.28515625" style="36"/>
    <col min="2049" max="2049" width="0.42578125" style="36" customWidth="1"/>
    <col min="2050" max="2050" width="6.85546875" style="36" customWidth="1"/>
    <col min="2051" max="2051" width="28.7109375" style="36" customWidth="1"/>
    <col min="2052" max="2052" width="45.5703125" style="36" customWidth="1"/>
    <col min="2053" max="2053" width="11.42578125" style="36" customWidth="1"/>
    <col min="2054" max="2054" width="8.5703125" style="36" customWidth="1"/>
    <col min="2055" max="2056" width="0.42578125" style="36" customWidth="1"/>
    <col min="2057" max="2057" width="9.140625" style="36" customWidth="1"/>
    <col min="2058" max="2304" width="13.28515625" style="36"/>
    <col min="2305" max="2305" width="0.42578125" style="36" customWidth="1"/>
    <col min="2306" max="2306" width="6.85546875" style="36" customWidth="1"/>
    <col min="2307" max="2307" width="28.7109375" style="36" customWidth="1"/>
    <col min="2308" max="2308" width="45.5703125" style="36" customWidth="1"/>
    <col min="2309" max="2309" width="11.42578125" style="36" customWidth="1"/>
    <col min="2310" max="2310" width="8.5703125" style="36" customWidth="1"/>
    <col min="2311" max="2312" width="0.42578125" style="36" customWidth="1"/>
    <col min="2313" max="2313" width="9.140625" style="36" customWidth="1"/>
    <col min="2314" max="2560" width="13.28515625" style="36"/>
    <col min="2561" max="2561" width="0.42578125" style="36" customWidth="1"/>
    <col min="2562" max="2562" width="6.85546875" style="36" customWidth="1"/>
    <col min="2563" max="2563" width="28.7109375" style="36" customWidth="1"/>
    <col min="2564" max="2564" width="45.5703125" style="36" customWidth="1"/>
    <col min="2565" max="2565" width="11.42578125" style="36" customWidth="1"/>
    <col min="2566" max="2566" width="8.5703125" style="36" customWidth="1"/>
    <col min="2567" max="2568" width="0.42578125" style="36" customWidth="1"/>
    <col min="2569" max="2569" width="9.140625" style="36" customWidth="1"/>
    <col min="2570" max="2816" width="13.28515625" style="36"/>
    <col min="2817" max="2817" width="0.42578125" style="36" customWidth="1"/>
    <col min="2818" max="2818" width="6.85546875" style="36" customWidth="1"/>
    <col min="2819" max="2819" width="28.7109375" style="36" customWidth="1"/>
    <col min="2820" max="2820" width="45.5703125" style="36" customWidth="1"/>
    <col min="2821" max="2821" width="11.42578125" style="36" customWidth="1"/>
    <col min="2822" max="2822" width="8.5703125" style="36" customWidth="1"/>
    <col min="2823" max="2824" width="0.42578125" style="36" customWidth="1"/>
    <col min="2825" max="2825" width="9.140625" style="36" customWidth="1"/>
    <col min="2826" max="3072" width="13.28515625" style="36"/>
    <col min="3073" max="3073" width="0.42578125" style="36" customWidth="1"/>
    <col min="3074" max="3074" width="6.85546875" style="36" customWidth="1"/>
    <col min="3075" max="3075" width="28.7109375" style="36" customWidth="1"/>
    <col min="3076" max="3076" width="45.5703125" style="36" customWidth="1"/>
    <col min="3077" max="3077" width="11.42578125" style="36" customWidth="1"/>
    <col min="3078" max="3078" width="8.5703125" style="36" customWidth="1"/>
    <col min="3079" max="3080" width="0.42578125" style="36" customWidth="1"/>
    <col min="3081" max="3081" width="9.140625" style="36" customWidth="1"/>
    <col min="3082" max="3328" width="13.28515625" style="36"/>
    <col min="3329" max="3329" width="0.42578125" style="36" customWidth="1"/>
    <col min="3330" max="3330" width="6.85546875" style="36" customWidth="1"/>
    <col min="3331" max="3331" width="28.7109375" style="36" customWidth="1"/>
    <col min="3332" max="3332" width="45.5703125" style="36" customWidth="1"/>
    <col min="3333" max="3333" width="11.42578125" style="36" customWidth="1"/>
    <col min="3334" max="3334" width="8.5703125" style="36" customWidth="1"/>
    <col min="3335" max="3336" width="0.42578125" style="36" customWidth="1"/>
    <col min="3337" max="3337" width="9.140625" style="36" customWidth="1"/>
    <col min="3338" max="3584" width="13.28515625" style="36"/>
    <col min="3585" max="3585" width="0.42578125" style="36" customWidth="1"/>
    <col min="3586" max="3586" width="6.85546875" style="36" customWidth="1"/>
    <col min="3587" max="3587" width="28.7109375" style="36" customWidth="1"/>
    <col min="3588" max="3588" width="45.5703125" style="36" customWidth="1"/>
    <col min="3589" max="3589" width="11.42578125" style="36" customWidth="1"/>
    <col min="3590" max="3590" width="8.5703125" style="36" customWidth="1"/>
    <col min="3591" max="3592" width="0.42578125" style="36" customWidth="1"/>
    <col min="3593" max="3593" width="9.140625" style="36" customWidth="1"/>
    <col min="3594" max="3840" width="13.28515625" style="36"/>
    <col min="3841" max="3841" width="0.42578125" style="36" customWidth="1"/>
    <col min="3842" max="3842" width="6.85546875" style="36" customWidth="1"/>
    <col min="3843" max="3843" width="28.7109375" style="36" customWidth="1"/>
    <col min="3844" max="3844" width="45.5703125" style="36" customWidth="1"/>
    <col min="3845" max="3845" width="11.42578125" style="36" customWidth="1"/>
    <col min="3846" max="3846" width="8.5703125" style="36" customWidth="1"/>
    <col min="3847" max="3848" width="0.42578125" style="36" customWidth="1"/>
    <col min="3849" max="3849" width="9.140625" style="36" customWidth="1"/>
    <col min="3850" max="4096" width="13.28515625" style="36"/>
    <col min="4097" max="4097" width="0.42578125" style="36" customWidth="1"/>
    <col min="4098" max="4098" width="6.85546875" style="36" customWidth="1"/>
    <col min="4099" max="4099" width="28.7109375" style="36" customWidth="1"/>
    <col min="4100" max="4100" width="45.5703125" style="36" customWidth="1"/>
    <col min="4101" max="4101" width="11.42578125" style="36" customWidth="1"/>
    <col min="4102" max="4102" width="8.5703125" style="36" customWidth="1"/>
    <col min="4103" max="4104" width="0.42578125" style="36" customWidth="1"/>
    <col min="4105" max="4105" width="9.140625" style="36" customWidth="1"/>
    <col min="4106" max="4352" width="13.28515625" style="36"/>
    <col min="4353" max="4353" width="0.42578125" style="36" customWidth="1"/>
    <col min="4354" max="4354" width="6.85546875" style="36" customWidth="1"/>
    <col min="4355" max="4355" width="28.7109375" style="36" customWidth="1"/>
    <col min="4356" max="4356" width="45.5703125" style="36" customWidth="1"/>
    <col min="4357" max="4357" width="11.42578125" style="36" customWidth="1"/>
    <col min="4358" max="4358" width="8.5703125" style="36" customWidth="1"/>
    <col min="4359" max="4360" width="0.42578125" style="36" customWidth="1"/>
    <col min="4361" max="4361" width="9.140625" style="36" customWidth="1"/>
    <col min="4362" max="4608" width="13.28515625" style="36"/>
    <col min="4609" max="4609" width="0.42578125" style="36" customWidth="1"/>
    <col min="4610" max="4610" width="6.85546875" style="36" customWidth="1"/>
    <col min="4611" max="4611" width="28.7109375" style="36" customWidth="1"/>
    <col min="4612" max="4612" width="45.5703125" style="36" customWidth="1"/>
    <col min="4613" max="4613" width="11.42578125" style="36" customWidth="1"/>
    <col min="4614" max="4614" width="8.5703125" style="36" customWidth="1"/>
    <col min="4615" max="4616" width="0.42578125" style="36" customWidth="1"/>
    <col min="4617" max="4617" width="9.140625" style="36" customWidth="1"/>
    <col min="4618" max="4864" width="13.28515625" style="36"/>
    <col min="4865" max="4865" width="0.42578125" style="36" customWidth="1"/>
    <col min="4866" max="4866" width="6.85546875" style="36" customWidth="1"/>
    <col min="4867" max="4867" width="28.7109375" style="36" customWidth="1"/>
    <col min="4868" max="4868" width="45.5703125" style="36" customWidth="1"/>
    <col min="4869" max="4869" width="11.42578125" style="36" customWidth="1"/>
    <col min="4870" max="4870" width="8.5703125" style="36" customWidth="1"/>
    <col min="4871" max="4872" width="0.42578125" style="36" customWidth="1"/>
    <col min="4873" max="4873" width="9.140625" style="36" customWidth="1"/>
    <col min="4874" max="5120" width="13.28515625" style="36"/>
    <col min="5121" max="5121" width="0.42578125" style="36" customWidth="1"/>
    <col min="5122" max="5122" width="6.85546875" style="36" customWidth="1"/>
    <col min="5123" max="5123" width="28.7109375" style="36" customWidth="1"/>
    <col min="5124" max="5124" width="45.5703125" style="36" customWidth="1"/>
    <col min="5125" max="5125" width="11.42578125" style="36" customWidth="1"/>
    <col min="5126" max="5126" width="8.5703125" style="36" customWidth="1"/>
    <col min="5127" max="5128" width="0.42578125" style="36" customWidth="1"/>
    <col min="5129" max="5129" width="9.140625" style="36" customWidth="1"/>
    <col min="5130" max="5376" width="13.28515625" style="36"/>
    <col min="5377" max="5377" width="0.42578125" style="36" customWidth="1"/>
    <col min="5378" max="5378" width="6.85546875" style="36" customWidth="1"/>
    <col min="5379" max="5379" width="28.7109375" style="36" customWidth="1"/>
    <col min="5380" max="5380" width="45.5703125" style="36" customWidth="1"/>
    <col min="5381" max="5381" width="11.42578125" style="36" customWidth="1"/>
    <col min="5382" max="5382" width="8.5703125" style="36" customWidth="1"/>
    <col min="5383" max="5384" width="0.42578125" style="36" customWidth="1"/>
    <col min="5385" max="5385" width="9.140625" style="36" customWidth="1"/>
    <col min="5386" max="5632" width="13.28515625" style="36"/>
    <col min="5633" max="5633" width="0.42578125" style="36" customWidth="1"/>
    <col min="5634" max="5634" width="6.85546875" style="36" customWidth="1"/>
    <col min="5635" max="5635" width="28.7109375" style="36" customWidth="1"/>
    <col min="5636" max="5636" width="45.5703125" style="36" customWidth="1"/>
    <col min="5637" max="5637" width="11.42578125" style="36" customWidth="1"/>
    <col min="5638" max="5638" width="8.5703125" style="36" customWidth="1"/>
    <col min="5639" max="5640" width="0.42578125" style="36" customWidth="1"/>
    <col min="5641" max="5641" width="9.140625" style="36" customWidth="1"/>
    <col min="5642" max="5888" width="13.28515625" style="36"/>
    <col min="5889" max="5889" width="0.42578125" style="36" customWidth="1"/>
    <col min="5890" max="5890" width="6.85546875" style="36" customWidth="1"/>
    <col min="5891" max="5891" width="28.7109375" style="36" customWidth="1"/>
    <col min="5892" max="5892" width="45.5703125" style="36" customWidth="1"/>
    <col min="5893" max="5893" width="11.42578125" style="36" customWidth="1"/>
    <col min="5894" max="5894" width="8.5703125" style="36" customWidth="1"/>
    <col min="5895" max="5896" width="0.42578125" style="36" customWidth="1"/>
    <col min="5897" max="5897" width="9.140625" style="36" customWidth="1"/>
    <col min="5898" max="6144" width="13.28515625" style="36"/>
    <col min="6145" max="6145" width="0.42578125" style="36" customWidth="1"/>
    <col min="6146" max="6146" width="6.85546875" style="36" customWidth="1"/>
    <col min="6147" max="6147" width="28.7109375" style="36" customWidth="1"/>
    <col min="6148" max="6148" width="45.5703125" style="36" customWidth="1"/>
    <col min="6149" max="6149" width="11.42578125" style="36" customWidth="1"/>
    <col min="6150" max="6150" width="8.5703125" style="36" customWidth="1"/>
    <col min="6151" max="6152" width="0.42578125" style="36" customWidth="1"/>
    <col min="6153" max="6153" width="9.140625" style="36" customWidth="1"/>
    <col min="6154" max="6400" width="13.28515625" style="36"/>
    <col min="6401" max="6401" width="0.42578125" style="36" customWidth="1"/>
    <col min="6402" max="6402" width="6.85546875" style="36" customWidth="1"/>
    <col min="6403" max="6403" width="28.7109375" style="36" customWidth="1"/>
    <col min="6404" max="6404" width="45.5703125" style="36" customWidth="1"/>
    <col min="6405" max="6405" width="11.42578125" style="36" customWidth="1"/>
    <col min="6406" max="6406" width="8.5703125" style="36" customWidth="1"/>
    <col min="6407" max="6408" width="0.42578125" style="36" customWidth="1"/>
    <col min="6409" max="6409" width="9.140625" style="36" customWidth="1"/>
    <col min="6410" max="6656" width="13.28515625" style="36"/>
    <col min="6657" max="6657" width="0.42578125" style="36" customWidth="1"/>
    <col min="6658" max="6658" width="6.85546875" style="36" customWidth="1"/>
    <col min="6659" max="6659" width="28.7109375" style="36" customWidth="1"/>
    <col min="6660" max="6660" width="45.5703125" style="36" customWidth="1"/>
    <col min="6661" max="6661" width="11.42578125" style="36" customWidth="1"/>
    <col min="6662" max="6662" width="8.5703125" style="36" customWidth="1"/>
    <col min="6663" max="6664" width="0.42578125" style="36" customWidth="1"/>
    <col min="6665" max="6665" width="9.140625" style="36" customWidth="1"/>
    <col min="6666" max="6912" width="13.28515625" style="36"/>
    <col min="6913" max="6913" width="0.42578125" style="36" customWidth="1"/>
    <col min="6914" max="6914" width="6.85546875" style="36" customWidth="1"/>
    <col min="6915" max="6915" width="28.7109375" style="36" customWidth="1"/>
    <col min="6916" max="6916" width="45.5703125" style="36" customWidth="1"/>
    <col min="6917" max="6917" width="11.42578125" style="36" customWidth="1"/>
    <col min="6918" max="6918" width="8.5703125" style="36" customWidth="1"/>
    <col min="6919" max="6920" width="0.42578125" style="36" customWidth="1"/>
    <col min="6921" max="6921" width="9.140625" style="36" customWidth="1"/>
    <col min="6922" max="7168" width="13.28515625" style="36"/>
    <col min="7169" max="7169" width="0.42578125" style="36" customWidth="1"/>
    <col min="7170" max="7170" width="6.85546875" style="36" customWidth="1"/>
    <col min="7171" max="7171" width="28.7109375" style="36" customWidth="1"/>
    <col min="7172" max="7172" width="45.5703125" style="36" customWidth="1"/>
    <col min="7173" max="7173" width="11.42578125" style="36" customWidth="1"/>
    <col min="7174" max="7174" width="8.5703125" style="36" customWidth="1"/>
    <col min="7175" max="7176" width="0.42578125" style="36" customWidth="1"/>
    <col min="7177" max="7177" width="9.140625" style="36" customWidth="1"/>
    <col min="7178" max="7424" width="13.28515625" style="36"/>
    <col min="7425" max="7425" width="0.42578125" style="36" customWidth="1"/>
    <col min="7426" max="7426" width="6.85546875" style="36" customWidth="1"/>
    <col min="7427" max="7427" width="28.7109375" style="36" customWidth="1"/>
    <col min="7428" max="7428" width="45.5703125" style="36" customWidth="1"/>
    <col min="7429" max="7429" width="11.42578125" style="36" customWidth="1"/>
    <col min="7430" max="7430" width="8.5703125" style="36" customWidth="1"/>
    <col min="7431" max="7432" width="0.42578125" style="36" customWidth="1"/>
    <col min="7433" max="7433" width="9.140625" style="36" customWidth="1"/>
    <col min="7434" max="7680" width="13.28515625" style="36"/>
    <col min="7681" max="7681" width="0.42578125" style="36" customWidth="1"/>
    <col min="7682" max="7682" width="6.85546875" style="36" customWidth="1"/>
    <col min="7683" max="7683" width="28.7109375" style="36" customWidth="1"/>
    <col min="7684" max="7684" width="45.5703125" style="36" customWidth="1"/>
    <col min="7685" max="7685" width="11.42578125" style="36" customWidth="1"/>
    <col min="7686" max="7686" width="8.5703125" style="36" customWidth="1"/>
    <col min="7687" max="7688" width="0.42578125" style="36" customWidth="1"/>
    <col min="7689" max="7689" width="9.140625" style="36" customWidth="1"/>
    <col min="7690" max="7936" width="13.28515625" style="36"/>
    <col min="7937" max="7937" width="0.42578125" style="36" customWidth="1"/>
    <col min="7938" max="7938" width="6.85546875" style="36" customWidth="1"/>
    <col min="7939" max="7939" width="28.7109375" style="36" customWidth="1"/>
    <col min="7940" max="7940" width="45.5703125" style="36" customWidth="1"/>
    <col min="7941" max="7941" width="11.42578125" style="36" customWidth="1"/>
    <col min="7942" max="7942" width="8.5703125" style="36" customWidth="1"/>
    <col min="7943" max="7944" width="0.42578125" style="36" customWidth="1"/>
    <col min="7945" max="7945" width="9.140625" style="36" customWidth="1"/>
    <col min="7946" max="8192" width="13.28515625" style="36"/>
    <col min="8193" max="8193" width="0.42578125" style="36" customWidth="1"/>
    <col min="8194" max="8194" width="6.85546875" style="36" customWidth="1"/>
    <col min="8195" max="8195" width="28.7109375" style="36" customWidth="1"/>
    <col min="8196" max="8196" width="45.5703125" style="36" customWidth="1"/>
    <col min="8197" max="8197" width="11.42578125" style="36" customWidth="1"/>
    <col min="8198" max="8198" width="8.5703125" style="36" customWidth="1"/>
    <col min="8199" max="8200" width="0.42578125" style="36" customWidth="1"/>
    <col min="8201" max="8201" width="9.140625" style="36" customWidth="1"/>
    <col min="8202" max="8448" width="13.28515625" style="36"/>
    <col min="8449" max="8449" width="0.42578125" style="36" customWidth="1"/>
    <col min="8450" max="8450" width="6.85546875" style="36" customWidth="1"/>
    <col min="8451" max="8451" width="28.7109375" style="36" customWidth="1"/>
    <col min="8452" max="8452" width="45.5703125" style="36" customWidth="1"/>
    <col min="8453" max="8453" width="11.42578125" style="36" customWidth="1"/>
    <col min="8454" max="8454" width="8.5703125" style="36" customWidth="1"/>
    <col min="8455" max="8456" width="0.42578125" style="36" customWidth="1"/>
    <col min="8457" max="8457" width="9.140625" style="36" customWidth="1"/>
    <col min="8458" max="8704" width="13.28515625" style="36"/>
    <col min="8705" max="8705" width="0.42578125" style="36" customWidth="1"/>
    <col min="8706" max="8706" width="6.85546875" style="36" customWidth="1"/>
    <col min="8707" max="8707" width="28.7109375" style="36" customWidth="1"/>
    <col min="8708" max="8708" width="45.5703125" style="36" customWidth="1"/>
    <col min="8709" max="8709" width="11.42578125" style="36" customWidth="1"/>
    <col min="8710" max="8710" width="8.5703125" style="36" customWidth="1"/>
    <col min="8711" max="8712" width="0.42578125" style="36" customWidth="1"/>
    <col min="8713" max="8713" width="9.140625" style="36" customWidth="1"/>
    <col min="8714" max="8960" width="13.28515625" style="36"/>
    <col min="8961" max="8961" width="0.42578125" style="36" customWidth="1"/>
    <col min="8962" max="8962" width="6.85546875" style="36" customWidth="1"/>
    <col min="8963" max="8963" width="28.7109375" style="36" customWidth="1"/>
    <col min="8964" max="8964" width="45.5703125" style="36" customWidth="1"/>
    <col min="8965" max="8965" width="11.42578125" style="36" customWidth="1"/>
    <col min="8966" max="8966" width="8.5703125" style="36" customWidth="1"/>
    <col min="8967" max="8968" width="0.42578125" style="36" customWidth="1"/>
    <col min="8969" max="8969" width="9.140625" style="36" customWidth="1"/>
    <col min="8970" max="9216" width="13.28515625" style="36"/>
    <col min="9217" max="9217" width="0.42578125" style="36" customWidth="1"/>
    <col min="9218" max="9218" width="6.85546875" style="36" customWidth="1"/>
    <col min="9219" max="9219" width="28.7109375" style="36" customWidth="1"/>
    <col min="9220" max="9220" width="45.5703125" style="36" customWidth="1"/>
    <col min="9221" max="9221" width="11.42578125" style="36" customWidth="1"/>
    <col min="9222" max="9222" width="8.5703125" style="36" customWidth="1"/>
    <col min="9223" max="9224" width="0.42578125" style="36" customWidth="1"/>
    <col min="9225" max="9225" width="9.140625" style="36" customWidth="1"/>
    <col min="9226" max="9472" width="13.28515625" style="36"/>
    <col min="9473" max="9473" width="0.42578125" style="36" customWidth="1"/>
    <col min="9474" max="9474" width="6.85546875" style="36" customWidth="1"/>
    <col min="9475" max="9475" width="28.7109375" style="36" customWidth="1"/>
    <col min="9476" max="9476" width="45.5703125" style="36" customWidth="1"/>
    <col min="9477" max="9477" width="11.42578125" style="36" customWidth="1"/>
    <col min="9478" max="9478" width="8.5703125" style="36" customWidth="1"/>
    <col min="9479" max="9480" width="0.42578125" style="36" customWidth="1"/>
    <col min="9481" max="9481" width="9.140625" style="36" customWidth="1"/>
    <col min="9482" max="9728" width="13.28515625" style="36"/>
    <col min="9729" max="9729" width="0.42578125" style="36" customWidth="1"/>
    <col min="9730" max="9730" width="6.85546875" style="36" customWidth="1"/>
    <col min="9731" max="9731" width="28.7109375" style="36" customWidth="1"/>
    <col min="9732" max="9732" width="45.5703125" style="36" customWidth="1"/>
    <col min="9733" max="9733" width="11.42578125" style="36" customWidth="1"/>
    <col min="9734" max="9734" width="8.5703125" style="36" customWidth="1"/>
    <col min="9735" max="9736" width="0.42578125" style="36" customWidth="1"/>
    <col min="9737" max="9737" width="9.140625" style="36" customWidth="1"/>
    <col min="9738" max="9984" width="13.28515625" style="36"/>
    <col min="9985" max="9985" width="0.42578125" style="36" customWidth="1"/>
    <col min="9986" max="9986" width="6.85546875" style="36" customWidth="1"/>
    <col min="9987" max="9987" width="28.7109375" style="36" customWidth="1"/>
    <col min="9988" max="9988" width="45.5703125" style="36" customWidth="1"/>
    <col min="9989" max="9989" width="11.42578125" style="36" customWidth="1"/>
    <col min="9990" max="9990" width="8.5703125" style="36" customWidth="1"/>
    <col min="9991" max="9992" width="0.42578125" style="36" customWidth="1"/>
    <col min="9993" max="9993" width="9.140625" style="36" customWidth="1"/>
    <col min="9994" max="10240" width="13.28515625" style="36"/>
    <col min="10241" max="10241" width="0.42578125" style="36" customWidth="1"/>
    <col min="10242" max="10242" width="6.85546875" style="36" customWidth="1"/>
    <col min="10243" max="10243" width="28.7109375" style="36" customWidth="1"/>
    <col min="10244" max="10244" width="45.5703125" style="36" customWidth="1"/>
    <col min="10245" max="10245" width="11.42578125" style="36" customWidth="1"/>
    <col min="10246" max="10246" width="8.5703125" style="36" customWidth="1"/>
    <col min="10247" max="10248" width="0.42578125" style="36" customWidth="1"/>
    <col min="10249" max="10249" width="9.140625" style="36" customWidth="1"/>
    <col min="10250" max="10496" width="13.28515625" style="36"/>
    <col min="10497" max="10497" width="0.42578125" style="36" customWidth="1"/>
    <col min="10498" max="10498" width="6.85546875" style="36" customWidth="1"/>
    <col min="10499" max="10499" width="28.7109375" style="36" customWidth="1"/>
    <col min="10500" max="10500" width="45.5703125" style="36" customWidth="1"/>
    <col min="10501" max="10501" width="11.42578125" style="36" customWidth="1"/>
    <col min="10502" max="10502" width="8.5703125" style="36" customWidth="1"/>
    <col min="10503" max="10504" width="0.42578125" style="36" customWidth="1"/>
    <col min="10505" max="10505" width="9.140625" style="36" customWidth="1"/>
    <col min="10506" max="10752" width="13.28515625" style="36"/>
    <col min="10753" max="10753" width="0.42578125" style="36" customWidth="1"/>
    <col min="10754" max="10754" width="6.85546875" style="36" customWidth="1"/>
    <col min="10755" max="10755" width="28.7109375" style="36" customWidth="1"/>
    <col min="10756" max="10756" width="45.5703125" style="36" customWidth="1"/>
    <col min="10757" max="10757" width="11.42578125" style="36" customWidth="1"/>
    <col min="10758" max="10758" width="8.5703125" style="36" customWidth="1"/>
    <col min="10759" max="10760" width="0.42578125" style="36" customWidth="1"/>
    <col min="10761" max="10761" width="9.140625" style="36" customWidth="1"/>
    <col min="10762" max="11008" width="13.28515625" style="36"/>
    <col min="11009" max="11009" width="0.42578125" style="36" customWidth="1"/>
    <col min="11010" max="11010" width="6.85546875" style="36" customWidth="1"/>
    <col min="11011" max="11011" width="28.7109375" style="36" customWidth="1"/>
    <col min="11012" max="11012" width="45.5703125" style="36" customWidth="1"/>
    <col min="11013" max="11013" width="11.42578125" style="36" customWidth="1"/>
    <col min="11014" max="11014" width="8.5703125" style="36" customWidth="1"/>
    <col min="11015" max="11016" width="0.42578125" style="36" customWidth="1"/>
    <col min="11017" max="11017" width="9.140625" style="36" customWidth="1"/>
    <col min="11018" max="11264" width="13.28515625" style="36"/>
    <col min="11265" max="11265" width="0.42578125" style="36" customWidth="1"/>
    <col min="11266" max="11266" width="6.85546875" style="36" customWidth="1"/>
    <col min="11267" max="11267" width="28.7109375" style="36" customWidth="1"/>
    <col min="11268" max="11268" width="45.5703125" style="36" customWidth="1"/>
    <col min="11269" max="11269" width="11.42578125" style="36" customWidth="1"/>
    <col min="11270" max="11270" width="8.5703125" style="36" customWidth="1"/>
    <col min="11271" max="11272" width="0.42578125" style="36" customWidth="1"/>
    <col min="11273" max="11273" width="9.140625" style="36" customWidth="1"/>
    <col min="11274" max="11520" width="13.28515625" style="36"/>
    <col min="11521" max="11521" width="0.42578125" style="36" customWidth="1"/>
    <col min="11522" max="11522" width="6.85546875" style="36" customWidth="1"/>
    <col min="11523" max="11523" width="28.7109375" style="36" customWidth="1"/>
    <col min="11524" max="11524" width="45.5703125" style="36" customWidth="1"/>
    <col min="11525" max="11525" width="11.42578125" style="36" customWidth="1"/>
    <col min="11526" max="11526" width="8.5703125" style="36" customWidth="1"/>
    <col min="11527" max="11528" width="0.42578125" style="36" customWidth="1"/>
    <col min="11529" max="11529" width="9.140625" style="36" customWidth="1"/>
    <col min="11530" max="11776" width="13.28515625" style="36"/>
    <col min="11777" max="11777" width="0.42578125" style="36" customWidth="1"/>
    <col min="11778" max="11778" width="6.85546875" style="36" customWidth="1"/>
    <col min="11779" max="11779" width="28.7109375" style="36" customWidth="1"/>
    <col min="11780" max="11780" width="45.5703125" style="36" customWidth="1"/>
    <col min="11781" max="11781" width="11.42578125" style="36" customWidth="1"/>
    <col min="11782" max="11782" width="8.5703125" style="36" customWidth="1"/>
    <col min="11783" max="11784" width="0.42578125" style="36" customWidth="1"/>
    <col min="11785" max="11785" width="9.140625" style="36" customWidth="1"/>
    <col min="11786" max="12032" width="13.28515625" style="36"/>
    <col min="12033" max="12033" width="0.42578125" style="36" customWidth="1"/>
    <col min="12034" max="12034" width="6.85546875" style="36" customWidth="1"/>
    <col min="12035" max="12035" width="28.7109375" style="36" customWidth="1"/>
    <col min="12036" max="12036" width="45.5703125" style="36" customWidth="1"/>
    <col min="12037" max="12037" width="11.42578125" style="36" customWidth="1"/>
    <col min="12038" max="12038" width="8.5703125" style="36" customWidth="1"/>
    <col min="12039" max="12040" width="0.42578125" style="36" customWidth="1"/>
    <col min="12041" max="12041" width="9.140625" style="36" customWidth="1"/>
    <col min="12042" max="12288" width="13.28515625" style="36"/>
    <col min="12289" max="12289" width="0.42578125" style="36" customWidth="1"/>
    <col min="12290" max="12290" width="6.85546875" style="36" customWidth="1"/>
    <col min="12291" max="12291" width="28.7109375" style="36" customWidth="1"/>
    <col min="12292" max="12292" width="45.5703125" style="36" customWidth="1"/>
    <col min="12293" max="12293" width="11.42578125" style="36" customWidth="1"/>
    <col min="12294" max="12294" width="8.5703125" style="36" customWidth="1"/>
    <col min="12295" max="12296" width="0.42578125" style="36" customWidth="1"/>
    <col min="12297" max="12297" width="9.140625" style="36" customWidth="1"/>
    <col min="12298" max="12544" width="13.28515625" style="36"/>
    <col min="12545" max="12545" width="0.42578125" style="36" customWidth="1"/>
    <col min="12546" max="12546" width="6.85546875" style="36" customWidth="1"/>
    <col min="12547" max="12547" width="28.7109375" style="36" customWidth="1"/>
    <col min="12548" max="12548" width="45.5703125" style="36" customWidth="1"/>
    <col min="12549" max="12549" width="11.42578125" style="36" customWidth="1"/>
    <col min="12550" max="12550" width="8.5703125" style="36" customWidth="1"/>
    <col min="12551" max="12552" width="0.42578125" style="36" customWidth="1"/>
    <col min="12553" max="12553" width="9.140625" style="36" customWidth="1"/>
    <col min="12554" max="12800" width="13.28515625" style="36"/>
    <col min="12801" max="12801" width="0.42578125" style="36" customWidth="1"/>
    <col min="12802" max="12802" width="6.85546875" style="36" customWidth="1"/>
    <col min="12803" max="12803" width="28.7109375" style="36" customWidth="1"/>
    <col min="12804" max="12804" width="45.5703125" style="36" customWidth="1"/>
    <col min="12805" max="12805" width="11.42578125" style="36" customWidth="1"/>
    <col min="12806" max="12806" width="8.5703125" style="36" customWidth="1"/>
    <col min="12807" max="12808" width="0.42578125" style="36" customWidth="1"/>
    <col min="12809" max="12809" width="9.140625" style="36" customWidth="1"/>
    <col min="12810" max="13056" width="13.28515625" style="36"/>
    <col min="13057" max="13057" width="0.42578125" style="36" customWidth="1"/>
    <col min="13058" max="13058" width="6.85546875" style="36" customWidth="1"/>
    <col min="13059" max="13059" width="28.7109375" style="36" customWidth="1"/>
    <col min="13060" max="13060" width="45.5703125" style="36" customWidth="1"/>
    <col min="13061" max="13061" width="11.42578125" style="36" customWidth="1"/>
    <col min="13062" max="13062" width="8.5703125" style="36" customWidth="1"/>
    <col min="13063" max="13064" width="0.42578125" style="36" customWidth="1"/>
    <col min="13065" max="13065" width="9.140625" style="36" customWidth="1"/>
    <col min="13066" max="13312" width="13.28515625" style="36"/>
    <col min="13313" max="13313" width="0.42578125" style="36" customWidth="1"/>
    <col min="13314" max="13314" width="6.85546875" style="36" customWidth="1"/>
    <col min="13315" max="13315" width="28.7109375" style="36" customWidth="1"/>
    <col min="13316" max="13316" width="45.5703125" style="36" customWidth="1"/>
    <col min="13317" max="13317" width="11.42578125" style="36" customWidth="1"/>
    <col min="13318" max="13318" width="8.5703125" style="36" customWidth="1"/>
    <col min="13319" max="13320" width="0.42578125" style="36" customWidth="1"/>
    <col min="13321" max="13321" width="9.140625" style="36" customWidth="1"/>
    <col min="13322" max="13568" width="13.28515625" style="36"/>
    <col min="13569" max="13569" width="0.42578125" style="36" customWidth="1"/>
    <col min="13570" max="13570" width="6.85546875" style="36" customWidth="1"/>
    <col min="13571" max="13571" width="28.7109375" style="36" customWidth="1"/>
    <col min="13572" max="13572" width="45.5703125" style="36" customWidth="1"/>
    <col min="13573" max="13573" width="11.42578125" style="36" customWidth="1"/>
    <col min="13574" max="13574" width="8.5703125" style="36" customWidth="1"/>
    <col min="13575" max="13576" width="0.42578125" style="36" customWidth="1"/>
    <col min="13577" max="13577" width="9.140625" style="36" customWidth="1"/>
    <col min="13578" max="13824" width="13.28515625" style="36"/>
    <col min="13825" max="13825" width="0.42578125" style="36" customWidth="1"/>
    <col min="13826" max="13826" width="6.85546875" style="36" customWidth="1"/>
    <col min="13827" max="13827" width="28.7109375" style="36" customWidth="1"/>
    <col min="13828" max="13828" width="45.5703125" style="36" customWidth="1"/>
    <col min="13829" max="13829" width="11.42578125" style="36" customWidth="1"/>
    <col min="13830" max="13830" width="8.5703125" style="36" customWidth="1"/>
    <col min="13831" max="13832" width="0.42578125" style="36" customWidth="1"/>
    <col min="13833" max="13833" width="9.140625" style="36" customWidth="1"/>
    <col min="13834" max="14080" width="13.28515625" style="36"/>
    <col min="14081" max="14081" width="0.42578125" style="36" customWidth="1"/>
    <col min="14082" max="14082" width="6.85546875" style="36" customWidth="1"/>
    <col min="14083" max="14083" width="28.7109375" style="36" customWidth="1"/>
    <col min="14084" max="14084" width="45.5703125" style="36" customWidth="1"/>
    <col min="14085" max="14085" width="11.42578125" style="36" customWidth="1"/>
    <col min="14086" max="14086" width="8.5703125" style="36" customWidth="1"/>
    <col min="14087" max="14088" width="0.42578125" style="36" customWidth="1"/>
    <col min="14089" max="14089" width="9.140625" style="36" customWidth="1"/>
    <col min="14090" max="14336" width="13.28515625" style="36"/>
    <col min="14337" max="14337" width="0.42578125" style="36" customWidth="1"/>
    <col min="14338" max="14338" width="6.85546875" style="36" customWidth="1"/>
    <col min="14339" max="14339" width="28.7109375" style="36" customWidth="1"/>
    <col min="14340" max="14340" width="45.5703125" style="36" customWidth="1"/>
    <col min="14341" max="14341" width="11.42578125" style="36" customWidth="1"/>
    <col min="14342" max="14342" width="8.5703125" style="36" customWidth="1"/>
    <col min="14343" max="14344" width="0.42578125" style="36" customWidth="1"/>
    <col min="14345" max="14345" width="9.140625" style="36" customWidth="1"/>
    <col min="14346" max="14592" width="13.28515625" style="36"/>
    <col min="14593" max="14593" width="0.42578125" style="36" customWidth="1"/>
    <col min="14594" max="14594" width="6.85546875" style="36" customWidth="1"/>
    <col min="14595" max="14595" width="28.7109375" style="36" customWidth="1"/>
    <col min="14596" max="14596" width="45.5703125" style="36" customWidth="1"/>
    <col min="14597" max="14597" width="11.42578125" style="36" customWidth="1"/>
    <col min="14598" max="14598" width="8.5703125" style="36" customWidth="1"/>
    <col min="14599" max="14600" width="0.42578125" style="36" customWidth="1"/>
    <col min="14601" max="14601" width="9.140625" style="36" customWidth="1"/>
    <col min="14602" max="14848" width="13.28515625" style="36"/>
    <col min="14849" max="14849" width="0.42578125" style="36" customWidth="1"/>
    <col min="14850" max="14850" width="6.85546875" style="36" customWidth="1"/>
    <col min="14851" max="14851" width="28.7109375" style="36" customWidth="1"/>
    <col min="14852" max="14852" width="45.5703125" style="36" customWidth="1"/>
    <col min="14853" max="14853" width="11.42578125" style="36" customWidth="1"/>
    <col min="14854" max="14854" width="8.5703125" style="36" customWidth="1"/>
    <col min="14855" max="14856" width="0.42578125" style="36" customWidth="1"/>
    <col min="14857" max="14857" width="9.140625" style="36" customWidth="1"/>
    <col min="14858" max="15104" width="13.28515625" style="36"/>
    <col min="15105" max="15105" width="0.42578125" style="36" customWidth="1"/>
    <col min="15106" max="15106" width="6.85546875" style="36" customWidth="1"/>
    <col min="15107" max="15107" width="28.7109375" style="36" customWidth="1"/>
    <col min="15108" max="15108" width="45.5703125" style="36" customWidth="1"/>
    <col min="15109" max="15109" width="11.42578125" style="36" customWidth="1"/>
    <col min="15110" max="15110" width="8.5703125" style="36" customWidth="1"/>
    <col min="15111" max="15112" width="0.42578125" style="36" customWidth="1"/>
    <col min="15113" max="15113" width="9.140625" style="36" customWidth="1"/>
    <col min="15114" max="15360" width="13.28515625" style="36"/>
    <col min="15361" max="15361" width="0.42578125" style="36" customWidth="1"/>
    <col min="15362" max="15362" width="6.85546875" style="36" customWidth="1"/>
    <col min="15363" max="15363" width="28.7109375" style="36" customWidth="1"/>
    <col min="15364" max="15364" width="45.5703125" style="36" customWidth="1"/>
    <col min="15365" max="15365" width="11.42578125" style="36" customWidth="1"/>
    <col min="15366" max="15366" width="8.5703125" style="36" customWidth="1"/>
    <col min="15367" max="15368" width="0.42578125" style="36" customWidth="1"/>
    <col min="15369" max="15369" width="9.140625" style="36" customWidth="1"/>
    <col min="15370" max="15616" width="13.28515625" style="36"/>
    <col min="15617" max="15617" width="0.42578125" style="36" customWidth="1"/>
    <col min="15618" max="15618" width="6.85546875" style="36" customWidth="1"/>
    <col min="15619" max="15619" width="28.7109375" style="36" customWidth="1"/>
    <col min="15620" max="15620" width="45.5703125" style="36" customWidth="1"/>
    <col min="15621" max="15621" width="11.42578125" style="36" customWidth="1"/>
    <col min="15622" max="15622" width="8.5703125" style="36" customWidth="1"/>
    <col min="15623" max="15624" width="0.42578125" style="36" customWidth="1"/>
    <col min="15625" max="15625" width="9.140625" style="36" customWidth="1"/>
    <col min="15626" max="15872" width="13.28515625" style="36"/>
    <col min="15873" max="15873" width="0.42578125" style="36" customWidth="1"/>
    <col min="15874" max="15874" width="6.85546875" style="36" customWidth="1"/>
    <col min="15875" max="15875" width="28.7109375" style="36" customWidth="1"/>
    <col min="15876" max="15876" width="45.5703125" style="36" customWidth="1"/>
    <col min="15877" max="15877" width="11.42578125" style="36" customWidth="1"/>
    <col min="15878" max="15878" width="8.5703125" style="36" customWidth="1"/>
    <col min="15879" max="15880" width="0.42578125" style="36" customWidth="1"/>
    <col min="15881" max="15881" width="9.140625" style="36" customWidth="1"/>
    <col min="15882" max="16128" width="13.28515625" style="36"/>
    <col min="16129" max="16129" width="0.42578125" style="36" customWidth="1"/>
    <col min="16130" max="16130" width="6.85546875" style="36" customWidth="1"/>
    <col min="16131" max="16131" width="28.7109375" style="36" customWidth="1"/>
    <col min="16132" max="16132" width="45.5703125" style="36" customWidth="1"/>
    <col min="16133" max="16133" width="11.42578125" style="36" customWidth="1"/>
    <col min="16134" max="16134" width="8.5703125" style="36" customWidth="1"/>
    <col min="16135" max="16136" width="0.42578125" style="36" customWidth="1"/>
    <col min="16137" max="16137" width="9.140625" style="36" customWidth="1"/>
    <col min="16138" max="16384" width="13.28515625" style="36"/>
  </cols>
  <sheetData>
    <row r="1" spans="3:7" ht="2.1" customHeight="1" x14ac:dyDescent="0.2">
      <c r="G1" s="36" t="s">
        <v>46</v>
      </c>
    </row>
    <row r="2" spans="3:7" ht="19.899999999999999" customHeight="1" x14ac:dyDescent="0.2"/>
    <row r="3" spans="3:7" ht="12.75" customHeight="1" x14ac:dyDescent="0.2">
      <c r="C3" s="37" t="s">
        <v>46</v>
      </c>
      <c r="D3" s="37"/>
      <c r="E3" s="37"/>
    </row>
    <row r="4" spans="3:7" ht="3.2" customHeight="1" x14ac:dyDescent="0.2">
      <c r="C4" s="37"/>
      <c r="D4" s="37"/>
      <c r="E4" s="37"/>
    </row>
    <row r="5" spans="3:7" ht="15" customHeight="1" x14ac:dyDescent="0.25">
      <c r="C5" s="38" t="s">
        <v>47</v>
      </c>
      <c r="D5" s="38"/>
      <c r="E5" s="38"/>
    </row>
    <row r="6" spans="3:7" ht="17.25" customHeight="1" x14ac:dyDescent="0.25">
      <c r="C6" s="39" t="s">
        <v>48</v>
      </c>
      <c r="D6" s="39"/>
      <c r="E6" s="39"/>
    </row>
    <row r="7" spans="3:7" ht="17.25" customHeight="1" x14ac:dyDescent="0.25">
      <c r="C7" s="39" t="s">
        <v>49</v>
      </c>
      <c r="D7" s="39"/>
      <c r="E7" s="39"/>
    </row>
    <row r="8" spans="3:7" ht="17.25" customHeight="1" x14ac:dyDescent="0.25">
      <c r="C8" s="39" t="s">
        <v>50</v>
      </c>
      <c r="D8" s="39"/>
      <c r="E8" s="39"/>
    </row>
    <row r="9" spans="3:7" ht="12.75" customHeight="1" x14ac:dyDescent="0.25">
      <c r="C9" s="39" t="s">
        <v>49</v>
      </c>
      <c r="D9" s="39"/>
      <c r="E9" s="39"/>
    </row>
    <row r="10" spans="3:7" ht="21.6" customHeight="1" x14ac:dyDescent="0.3">
      <c r="C10" s="40" t="s">
        <v>51</v>
      </c>
      <c r="D10" s="40"/>
      <c r="E10" s="41"/>
    </row>
    <row r="11" spans="3:7" ht="5.45" customHeight="1" x14ac:dyDescent="0.3">
      <c r="C11" s="40"/>
      <c r="D11" s="40"/>
      <c r="E11" s="40"/>
    </row>
    <row r="12" spans="3:7" ht="12.75" customHeight="1" x14ac:dyDescent="0.2">
      <c r="C12" s="42" t="s">
        <v>52</v>
      </c>
      <c r="D12" s="42"/>
      <c r="E12" s="43"/>
    </row>
    <row r="13" spans="3:7" ht="5.45" customHeight="1" x14ac:dyDescent="0.2"/>
    <row r="15" spans="3:7" ht="12.75" customHeight="1" x14ac:dyDescent="0.2">
      <c r="C15" s="44" t="s">
        <v>53</v>
      </c>
      <c r="D15" s="44"/>
      <c r="E15" s="45" t="s">
        <v>49</v>
      </c>
    </row>
    <row r="16" spans="3:7" ht="10.9" customHeight="1" x14ac:dyDescent="0.2">
      <c r="C16" s="46" t="s">
        <v>54</v>
      </c>
      <c r="D16" s="46"/>
      <c r="E16" s="47">
        <v>1055000</v>
      </c>
    </row>
    <row r="17" spans="3:5" ht="10.9" customHeight="1" x14ac:dyDescent="0.2">
      <c r="C17" s="46" t="s">
        <v>55</v>
      </c>
      <c r="D17" s="46"/>
      <c r="E17" s="48">
        <v>134090.22</v>
      </c>
    </row>
    <row r="18" spans="3:5" ht="10.9" customHeight="1" x14ac:dyDescent="0.2">
      <c r="C18" s="46" t="s">
        <v>56</v>
      </c>
      <c r="D18" s="46"/>
      <c r="E18" s="48">
        <v>92430</v>
      </c>
    </row>
    <row r="19" spans="3:5" ht="10.9" customHeight="1" x14ac:dyDescent="0.2">
      <c r="C19" s="49" t="s">
        <v>46</v>
      </c>
      <c r="D19" s="49"/>
      <c r="E19" s="50" t="s">
        <v>49</v>
      </c>
    </row>
    <row r="20" spans="3:5" ht="10.9" customHeight="1" x14ac:dyDescent="0.2">
      <c r="C20" s="51" t="s">
        <v>57</v>
      </c>
      <c r="D20" s="51"/>
      <c r="E20" s="52">
        <v>1281520.22</v>
      </c>
    </row>
    <row r="21" spans="3:5" ht="10.9" customHeight="1" x14ac:dyDescent="0.2">
      <c r="C21" s="49" t="s">
        <v>46</v>
      </c>
      <c r="D21" s="49"/>
      <c r="E21" s="50" t="s">
        <v>49</v>
      </c>
    </row>
    <row r="22" spans="3:5" ht="10.9" customHeight="1" x14ac:dyDescent="0.2">
      <c r="C22" s="44" t="s">
        <v>58</v>
      </c>
      <c r="D22" s="44"/>
      <c r="E22" s="53" t="s">
        <v>49</v>
      </c>
    </row>
    <row r="23" spans="3:5" ht="10.9" customHeight="1" x14ac:dyDescent="0.2">
      <c r="C23" s="46" t="s">
        <v>59</v>
      </c>
      <c r="D23" s="46"/>
      <c r="E23" s="48">
        <v>10022.5</v>
      </c>
    </row>
    <row r="24" spans="3:5" ht="10.9" customHeight="1" x14ac:dyDescent="0.2">
      <c r="C24" s="46" t="s">
        <v>60</v>
      </c>
      <c r="D24" s="46"/>
      <c r="E24" s="48">
        <v>26746</v>
      </c>
    </row>
    <row r="25" spans="3:5" ht="10.9" customHeight="1" x14ac:dyDescent="0.2">
      <c r="C25" s="46" t="s">
        <v>61</v>
      </c>
      <c r="D25" s="46"/>
      <c r="E25" s="48">
        <v>1244751.72</v>
      </c>
    </row>
    <row r="26" spans="3:5" ht="10.9" customHeight="1" x14ac:dyDescent="0.2">
      <c r="C26" s="49" t="s">
        <v>46</v>
      </c>
      <c r="D26" s="49"/>
      <c r="E26" s="50" t="s">
        <v>49</v>
      </c>
    </row>
    <row r="27" spans="3:5" ht="10.9" customHeight="1" x14ac:dyDescent="0.2">
      <c r="C27" s="51" t="s">
        <v>62</v>
      </c>
      <c r="D27" s="51"/>
      <c r="E27" s="52">
        <v>1281520.22</v>
      </c>
    </row>
    <row r="28" spans="3:5" ht="31.9" customHeight="1" x14ac:dyDescent="0.2"/>
    <row r="29" spans="3:5" ht="356.45" customHeight="1" x14ac:dyDescent="0.2"/>
    <row r="30" spans="3:5" ht="12.75" customHeight="1" x14ac:dyDescent="0.2">
      <c r="C30" s="54" t="s">
        <v>63</v>
      </c>
      <c r="D30" s="54"/>
      <c r="E30" s="54"/>
    </row>
    <row r="31" spans="3:5" ht="12.75" customHeight="1" x14ac:dyDescent="0.3">
      <c r="C31" s="55"/>
      <c r="D31" s="55"/>
      <c r="E31" s="55"/>
    </row>
    <row r="32" spans="3:5" ht="18.75" customHeight="1" x14ac:dyDescent="0.3">
      <c r="C32" s="56" t="s">
        <v>0</v>
      </c>
      <c r="D32" s="56"/>
      <c r="E32" s="56"/>
    </row>
    <row r="33" spans="1:5" ht="12.75" customHeight="1" x14ac:dyDescent="0.2">
      <c r="C33" s="57" t="s">
        <v>64</v>
      </c>
      <c r="D33" s="57"/>
      <c r="E33" s="58" t="s">
        <v>65</v>
      </c>
    </row>
    <row r="35" spans="1:5" ht="2.1" customHeight="1" x14ac:dyDescent="0.2">
      <c r="A35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O82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5.28515625" style="36" customWidth="1"/>
    <col min="5" max="5" width="11.42578125" style="36" customWidth="1"/>
    <col min="6" max="6" width="5.28515625" style="36" customWidth="1"/>
    <col min="7" max="7" width="7.5703125" style="36" customWidth="1"/>
    <col min="8" max="8" width="5.28515625" style="36" customWidth="1"/>
    <col min="9" max="9" width="10" style="36" customWidth="1"/>
    <col min="10" max="10" width="5.28515625" style="36" customWidth="1"/>
    <col min="11" max="11" width="11.42578125" style="36" customWidth="1"/>
    <col min="12" max="12" width="5.28515625" style="36" customWidth="1"/>
    <col min="13" max="13" width="10.28515625" style="36" customWidth="1"/>
    <col min="14" max="14" width="8.5703125" style="36" customWidth="1"/>
    <col min="15" max="16" width="0.42578125" style="36" customWidth="1"/>
    <col min="17" max="17" width="9.140625" style="36" customWidth="1"/>
    <col min="18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5.28515625" style="36" customWidth="1"/>
    <col min="261" max="261" width="11.42578125" style="36" customWidth="1"/>
    <col min="262" max="262" width="5.28515625" style="36" customWidth="1"/>
    <col min="263" max="263" width="7.5703125" style="36" customWidth="1"/>
    <col min="264" max="264" width="5.28515625" style="36" customWidth="1"/>
    <col min="265" max="265" width="10" style="36" customWidth="1"/>
    <col min="266" max="266" width="5.28515625" style="36" customWidth="1"/>
    <col min="267" max="267" width="11.42578125" style="36" customWidth="1"/>
    <col min="268" max="268" width="5.28515625" style="36" customWidth="1"/>
    <col min="269" max="269" width="10.28515625" style="36" customWidth="1"/>
    <col min="270" max="270" width="8.5703125" style="36" customWidth="1"/>
    <col min="271" max="272" width="0.42578125" style="36" customWidth="1"/>
    <col min="273" max="273" width="9.140625" style="36" customWidth="1"/>
    <col min="274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5.28515625" style="36" customWidth="1"/>
    <col min="517" max="517" width="11.42578125" style="36" customWidth="1"/>
    <col min="518" max="518" width="5.28515625" style="36" customWidth="1"/>
    <col min="519" max="519" width="7.5703125" style="36" customWidth="1"/>
    <col min="520" max="520" width="5.28515625" style="36" customWidth="1"/>
    <col min="521" max="521" width="10" style="36" customWidth="1"/>
    <col min="522" max="522" width="5.28515625" style="36" customWidth="1"/>
    <col min="523" max="523" width="11.42578125" style="36" customWidth="1"/>
    <col min="524" max="524" width="5.28515625" style="36" customWidth="1"/>
    <col min="525" max="525" width="10.28515625" style="36" customWidth="1"/>
    <col min="526" max="526" width="8.5703125" style="36" customWidth="1"/>
    <col min="527" max="528" width="0.42578125" style="36" customWidth="1"/>
    <col min="529" max="529" width="9.140625" style="36" customWidth="1"/>
    <col min="530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5.28515625" style="36" customWidth="1"/>
    <col min="773" max="773" width="11.42578125" style="36" customWidth="1"/>
    <col min="774" max="774" width="5.28515625" style="36" customWidth="1"/>
    <col min="775" max="775" width="7.5703125" style="36" customWidth="1"/>
    <col min="776" max="776" width="5.28515625" style="36" customWidth="1"/>
    <col min="777" max="777" width="10" style="36" customWidth="1"/>
    <col min="778" max="778" width="5.28515625" style="36" customWidth="1"/>
    <col min="779" max="779" width="11.42578125" style="36" customWidth="1"/>
    <col min="780" max="780" width="5.28515625" style="36" customWidth="1"/>
    <col min="781" max="781" width="10.28515625" style="36" customWidth="1"/>
    <col min="782" max="782" width="8.5703125" style="36" customWidth="1"/>
    <col min="783" max="784" width="0.42578125" style="36" customWidth="1"/>
    <col min="785" max="785" width="9.140625" style="36" customWidth="1"/>
    <col min="786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5.28515625" style="36" customWidth="1"/>
    <col min="1029" max="1029" width="11.42578125" style="36" customWidth="1"/>
    <col min="1030" max="1030" width="5.28515625" style="36" customWidth="1"/>
    <col min="1031" max="1031" width="7.5703125" style="36" customWidth="1"/>
    <col min="1032" max="1032" width="5.28515625" style="36" customWidth="1"/>
    <col min="1033" max="1033" width="10" style="36" customWidth="1"/>
    <col min="1034" max="1034" width="5.28515625" style="36" customWidth="1"/>
    <col min="1035" max="1035" width="11.42578125" style="36" customWidth="1"/>
    <col min="1036" max="1036" width="5.28515625" style="36" customWidth="1"/>
    <col min="1037" max="1037" width="10.28515625" style="36" customWidth="1"/>
    <col min="1038" max="1038" width="8.5703125" style="36" customWidth="1"/>
    <col min="1039" max="1040" width="0.42578125" style="36" customWidth="1"/>
    <col min="1041" max="1041" width="9.140625" style="36" customWidth="1"/>
    <col min="1042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5.28515625" style="36" customWidth="1"/>
    <col min="1285" max="1285" width="11.42578125" style="36" customWidth="1"/>
    <col min="1286" max="1286" width="5.28515625" style="36" customWidth="1"/>
    <col min="1287" max="1287" width="7.5703125" style="36" customWidth="1"/>
    <col min="1288" max="1288" width="5.28515625" style="36" customWidth="1"/>
    <col min="1289" max="1289" width="10" style="36" customWidth="1"/>
    <col min="1290" max="1290" width="5.28515625" style="36" customWidth="1"/>
    <col min="1291" max="1291" width="11.42578125" style="36" customWidth="1"/>
    <col min="1292" max="1292" width="5.28515625" style="36" customWidth="1"/>
    <col min="1293" max="1293" width="10.28515625" style="36" customWidth="1"/>
    <col min="1294" max="1294" width="8.5703125" style="36" customWidth="1"/>
    <col min="1295" max="1296" width="0.42578125" style="36" customWidth="1"/>
    <col min="1297" max="1297" width="9.140625" style="36" customWidth="1"/>
    <col min="1298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5.28515625" style="36" customWidth="1"/>
    <col min="1541" max="1541" width="11.42578125" style="36" customWidth="1"/>
    <col min="1542" max="1542" width="5.28515625" style="36" customWidth="1"/>
    <col min="1543" max="1543" width="7.5703125" style="36" customWidth="1"/>
    <col min="1544" max="1544" width="5.28515625" style="36" customWidth="1"/>
    <col min="1545" max="1545" width="10" style="36" customWidth="1"/>
    <col min="1546" max="1546" width="5.28515625" style="36" customWidth="1"/>
    <col min="1547" max="1547" width="11.42578125" style="36" customWidth="1"/>
    <col min="1548" max="1548" width="5.28515625" style="36" customWidth="1"/>
    <col min="1549" max="1549" width="10.28515625" style="36" customWidth="1"/>
    <col min="1550" max="1550" width="8.5703125" style="36" customWidth="1"/>
    <col min="1551" max="1552" width="0.42578125" style="36" customWidth="1"/>
    <col min="1553" max="1553" width="9.140625" style="36" customWidth="1"/>
    <col min="1554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5.28515625" style="36" customWidth="1"/>
    <col min="1797" max="1797" width="11.42578125" style="36" customWidth="1"/>
    <col min="1798" max="1798" width="5.28515625" style="36" customWidth="1"/>
    <col min="1799" max="1799" width="7.5703125" style="36" customWidth="1"/>
    <col min="1800" max="1800" width="5.28515625" style="36" customWidth="1"/>
    <col min="1801" max="1801" width="10" style="36" customWidth="1"/>
    <col min="1802" max="1802" width="5.28515625" style="36" customWidth="1"/>
    <col min="1803" max="1803" width="11.42578125" style="36" customWidth="1"/>
    <col min="1804" max="1804" width="5.28515625" style="36" customWidth="1"/>
    <col min="1805" max="1805" width="10.28515625" style="36" customWidth="1"/>
    <col min="1806" max="1806" width="8.5703125" style="36" customWidth="1"/>
    <col min="1807" max="1808" width="0.42578125" style="36" customWidth="1"/>
    <col min="1809" max="1809" width="9.140625" style="36" customWidth="1"/>
    <col min="1810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5.28515625" style="36" customWidth="1"/>
    <col min="2053" max="2053" width="11.42578125" style="36" customWidth="1"/>
    <col min="2054" max="2054" width="5.28515625" style="36" customWidth="1"/>
    <col min="2055" max="2055" width="7.5703125" style="36" customWidth="1"/>
    <col min="2056" max="2056" width="5.28515625" style="36" customWidth="1"/>
    <col min="2057" max="2057" width="10" style="36" customWidth="1"/>
    <col min="2058" max="2058" width="5.28515625" style="36" customWidth="1"/>
    <col min="2059" max="2059" width="11.42578125" style="36" customWidth="1"/>
    <col min="2060" max="2060" width="5.28515625" style="36" customWidth="1"/>
    <col min="2061" max="2061" width="10.28515625" style="36" customWidth="1"/>
    <col min="2062" max="2062" width="8.5703125" style="36" customWidth="1"/>
    <col min="2063" max="2064" width="0.42578125" style="36" customWidth="1"/>
    <col min="2065" max="2065" width="9.140625" style="36" customWidth="1"/>
    <col min="2066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5.28515625" style="36" customWidth="1"/>
    <col min="2309" max="2309" width="11.42578125" style="36" customWidth="1"/>
    <col min="2310" max="2310" width="5.28515625" style="36" customWidth="1"/>
    <col min="2311" max="2311" width="7.5703125" style="36" customWidth="1"/>
    <col min="2312" max="2312" width="5.28515625" style="36" customWidth="1"/>
    <col min="2313" max="2313" width="10" style="36" customWidth="1"/>
    <col min="2314" max="2314" width="5.28515625" style="36" customWidth="1"/>
    <col min="2315" max="2315" width="11.42578125" style="36" customWidth="1"/>
    <col min="2316" max="2316" width="5.28515625" style="36" customWidth="1"/>
    <col min="2317" max="2317" width="10.28515625" style="36" customWidth="1"/>
    <col min="2318" max="2318" width="8.5703125" style="36" customWidth="1"/>
    <col min="2319" max="2320" width="0.42578125" style="36" customWidth="1"/>
    <col min="2321" max="2321" width="9.140625" style="36" customWidth="1"/>
    <col min="2322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5.28515625" style="36" customWidth="1"/>
    <col min="2565" max="2565" width="11.42578125" style="36" customWidth="1"/>
    <col min="2566" max="2566" width="5.28515625" style="36" customWidth="1"/>
    <col min="2567" max="2567" width="7.5703125" style="36" customWidth="1"/>
    <col min="2568" max="2568" width="5.28515625" style="36" customWidth="1"/>
    <col min="2569" max="2569" width="10" style="36" customWidth="1"/>
    <col min="2570" max="2570" width="5.28515625" style="36" customWidth="1"/>
    <col min="2571" max="2571" width="11.42578125" style="36" customWidth="1"/>
    <col min="2572" max="2572" width="5.28515625" style="36" customWidth="1"/>
    <col min="2573" max="2573" width="10.28515625" style="36" customWidth="1"/>
    <col min="2574" max="2574" width="8.5703125" style="36" customWidth="1"/>
    <col min="2575" max="2576" width="0.42578125" style="36" customWidth="1"/>
    <col min="2577" max="2577" width="9.140625" style="36" customWidth="1"/>
    <col min="2578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5.28515625" style="36" customWidth="1"/>
    <col min="2821" max="2821" width="11.42578125" style="36" customWidth="1"/>
    <col min="2822" max="2822" width="5.28515625" style="36" customWidth="1"/>
    <col min="2823" max="2823" width="7.5703125" style="36" customWidth="1"/>
    <col min="2824" max="2824" width="5.28515625" style="36" customWidth="1"/>
    <col min="2825" max="2825" width="10" style="36" customWidth="1"/>
    <col min="2826" max="2826" width="5.28515625" style="36" customWidth="1"/>
    <col min="2827" max="2827" width="11.42578125" style="36" customWidth="1"/>
    <col min="2828" max="2828" width="5.28515625" style="36" customWidth="1"/>
    <col min="2829" max="2829" width="10.28515625" style="36" customWidth="1"/>
    <col min="2830" max="2830" width="8.5703125" style="36" customWidth="1"/>
    <col min="2831" max="2832" width="0.42578125" style="36" customWidth="1"/>
    <col min="2833" max="2833" width="9.140625" style="36" customWidth="1"/>
    <col min="2834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5.28515625" style="36" customWidth="1"/>
    <col min="3077" max="3077" width="11.42578125" style="36" customWidth="1"/>
    <col min="3078" max="3078" width="5.28515625" style="36" customWidth="1"/>
    <col min="3079" max="3079" width="7.5703125" style="36" customWidth="1"/>
    <col min="3080" max="3080" width="5.28515625" style="36" customWidth="1"/>
    <col min="3081" max="3081" width="10" style="36" customWidth="1"/>
    <col min="3082" max="3082" width="5.28515625" style="36" customWidth="1"/>
    <col min="3083" max="3083" width="11.42578125" style="36" customWidth="1"/>
    <col min="3084" max="3084" width="5.28515625" style="36" customWidth="1"/>
    <col min="3085" max="3085" width="10.28515625" style="36" customWidth="1"/>
    <col min="3086" max="3086" width="8.5703125" style="36" customWidth="1"/>
    <col min="3087" max="3088" width="0.42578125" style="36" customWidth="1"/>
    <col min="3089" max="3089" width="9.140625" style="36" customWidth="1"/>
    <col min="3090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5.28515625" style="36" customWidth="1"/>
    <col min="3333" max="3333" width="11.42578125" style="36" customWidth="1"/>
    <col min="3334" max="3334" width="5.28515625" style="36" customWidth="1"/>
    <col min="3335" max="3335" width="7.5703125" style="36" customWidth="1"/>
    <col min="3336" max="3336" width="5.28515625" style="36" customWidth="1"/>
    <col min="3337" max="3337" width="10" style="36" customWidth="1"/>
    <col min="3338" max="3338" width="5.28515625" style="36" customWidth="1"/>
    <col min="3339" max="3339" width="11.42578125" style="36" customWidth="1"/>
    <col min="3340" max="3340" width="5.28515625" style="36" customWidth="1"/>
    <col min="3341" max="3341" width="10.28515625" style="36" customWidth="1"/>
    <col min="3342" max="3342" width="8.5703125" style="36" customWidth="1"/>
    <col min="3343" max="3344" width="0.42578125" style="36" customWidth="1"/>
    <col min="3345" max="3345" width="9.140625" style="36" customWidth="1"/>
    <col min="3346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5.28515625" style="36" customWidth="1"/>
    <col min="3589" max="3589" width="11.42578125" style="36" customWidth="1"/>
    <col min="3590" max="3590" width="5.28515625" style="36" customWidth="1"/>
    <col min="3591" max="3591" width="7.5703125" style="36" customWidth="1"/>
    <col min="3592" max="3592" width="5.28515625" style="36" customWidth="1"/>
    <col min="3593" max="3593" width="10" style="36" customWidth="1"/>
    <col min="3594" max="3594" width="5.28515625" style="36" customWidth="1"/>
    <col min="3595" max="3595" width="11.42578125" style="36" customWidth="1"/>
    <col min="3596" max="3596" width="5.28515625" style="36" customWidth="1"/>
    <col min="3597" max="3597" width="10.28515625" style="36" customWidth="1"/>
    <col min="3598" max="3598" width="8.5703125" style="36" customWidth="1"/>
    <col min="3599" max="3600" width="0.42578125" style="36" customWidth="1"/>
    <col min="3601" max="3601" width="9.140625" style="36" customWidth="1"/>
    <col min="3602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5.28515625" style="36" customWidth="1"/>
    <col min="3845" max="3845" width="11.42578125" style="36" customWidth="1"/>
    <col min="3846" max="3846" width="5.28515625" style="36" customWidth="1"/>
    <col min="3847" max="3847" width="7.5703125" style="36" customWidth="1"/>
    <col min="3848" max="3848" width="5.28515625" style="36" customWidth="1"/>
    <col min="3849" max="3849" width="10" style="36" customWidth="1"/>
    <col min="3850" max="3850" width="5.28515625" style="36" customWidth="1"/>
    <col min="3851" max="3851" width="11.42578125" style="36" customWidth="1"/>
    <col min="3852" max="3852" width="5.28515625" style="36" customWidth="1"/>
    <col min="3853" max="3853" width="10.28515625" style="36" customWidth="1"/>
    <col min="3854" max="3854" width="8.5703125" style="36" customWidth="1"/>
    <col min="3855" max="3856" width="0.42578125" style="36" customWidth="1"/>
    <col min="3857" max="3857" width="9.140625" style="36" customWidth="1"/>
    <col min="3858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5.28515625" style="36" customWidth="1"/>
    <col min="4101" max="4101" width="11.42578125" style="36" customWidth="1"/>
    <col min="4102" max="4102" width="5.28515625" style="36" customWidth="1"/>
    <col min="4103" max="4103" width="7.5703125" style="36" customWidth="1"/>
    <col min="4104" max="4104" width="5.28515625" style="36" customWidth="1"/>
    <col min="4105" max="4105" width="10" style="36" customWidth="1"/>
    <col min="4106" max="4106" width="5.28515625" style="36" customWidth="1"/>
    <col min="4107" max="4107" width="11.42578125" style="36" customWidth="1"/>
    <col min="4108" max="4108" width="5.28515625" style="36" customWidth="1"/>
    <col min="4109" max="4109" width="10.28515625" style="36" customWidth="1"/>
    <col min="4110" max="4110" width="8.5703125" style="36" customWidth="1"/>
    <col min="4111" max="4112" width="0.42578125" style="36" customWidth="1"/>
    <col min="4113" max="4113" width="9.140625" style="36" customWidth="1"/>
    <col min="4114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5.28515625" style="36" customWidth="1"/>
    <col min="4357" max="4357" width="11.42578125" style="36" customWidth="1"/>
    <col min="4358" max="4358" width="5.28515625" style="36" customWidth="1"/>
    <col min="4359" max="4359" width="7.5703125" style="36" customWidth="1"/>
    <col min="4360" max="4360" width="5.28515625" style="36" customWidth="1"/>
    <col min="4361" max="4361" width="10" style="36" customWidth="1"/>
    <col min="4362" max="4362" width="5.28515625" style="36" customWidth="1"/>
    <col min="4363" max="4363" width="11.42578125" style="36" customWidth="1"/>
    <col min="4364" max="4364" width="5.28515625" style="36" customWidth="1"/>
    <col min="4365" max="4365" width="10.28515625" style="36" customWidth="1"/>
    <col min="4366" max="4366" width="8.5703125" style="36" customWidth="1"/>
    <col min="4367" max="4368" width="0.42578125" style="36" customWidth="1"/>
    <col min="4369" max="4369" width="9.140625" style="36" customWidth="1"/>
    <col min="4370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5.28515625" style="36" customWidth="1"/>
    <col min="4613" max="4613" width="11.42578125" style="36" customWidth="1"/>
    <col min="4614" max="4614" width="5.28515625" style="36" customWidth="1"/>
    <col min="4615" max="4615" width="7.5703125" style="36" customWidth="1"/>
    <col min="4616" max="4616" width="5.28515625" style="36" customWidth="1"/>
    <col min="4617" max="4617" width="10" style="36" customWidth="1"/>
    <col min="4618" max="4618" width="5.28515625" style="36" customWidth="1"/>
    <col min="4619" max="4619" width="11.42578125" style="36" customWidth="1"/>
    <col min="4620" max="4620" width="5.28515625" style="36" customWidth="1"/>
    <col min="4621" max="4621" width="10.28515625" style="36" customWidth="1"/>
    <col min="4622" max="4622" width="8.5703125" style="36" customWidth="1"/>
    <col min="4623" max="4624" width="0.42578125" style="36" customWidth="1"/>
    <col min="4625" max="4625" width="9.140625" style="36" customWidth="1"/>
    <col min="4626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5.28515625" style="36" customWidth="1"/>
    <col min="4869" max="4869" width="11.42578125" style="36" customWidth="1"/>
    <col min="4870" max="4870" width="5.28515625" style="36" customWidth="1"/>
    <col min="4871" max="4871" width="7.5703125" style="36" customWidth="1"/>
    <col min="4872" max="4872" width="5.28515625" style="36" customWidth="1"/>
    <col min="4873" max="4873" width="10" style="36" customWidth="1"/>
    <col min="4874" max="4874" width="5.28515625" style="36" customWidth="1"/>
    <col min="4875" max="4875" width="11.42578125" style="36" customWidth="1"/>
    <col min="4876" max="4876" width="5.28515625" style="36" customWidth="1"/>
    <col min="4877" max="4877" width="10.28515625" style="36" customWidth="1"/>
    <col min="4878" max="4878" width="8.5703125" style="36" customWidth="1"/>
    <col min="4879" max="4880" width="0.42578125" style="36" customWidth="1"/>
    <col min="4881" max="4881" width="9.140625" style="36" customWidth="1"/>
    <col min="4882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5.28515625" style="36" customWidth="1"/>
    <col min="5125" max="5125" width="11.42578125" style="36" customWidth="1"/>
    <col min="5126" max="5126" width="5.28515625" style="36" customWidth="1"/>
    <col min="5127" max="5127" width="7.5703125" style="36" customWidth="1"/>
    <col min="5128" max="5128" width="5.28515625" style="36" customWidth="1"/>
    <col min="5129" max="5129" width="10" style="36" customWidth="1"/>
    <col min="5130" max="5130" width="5.28515625" style="36" customWidth="1"/>
    <col min="5131" max="5131" width="11.42578125" style="36" customWidth="1"/>
    <col min="5132" max="5132" width="5.28515625" style="36" customWidth="1"/>
    <col min="5133" max="5133" width="10.28515625" style="36" customWidth="1"/>
    <col min="5134" max="5134" width="8.5703125" style="36" customWidth="1"/>
    <col min="5135" max="5136" width="0.42578125" style="36" customWidth="1"/>
    <col min="5137" max="5137" width="9.140625" style="36" customWidth="1"/>
    <col min="5138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5.28515625" style="36" customWidth="1"/>
    <col min="5381" max="5381" width="11.42578125" style="36" customWidth="1"/>
    <col min="5382" max="5382" width="5.28515625" style="36" customWidth="1"/>
    <col min="5383" max="5383" width="7.5703125" style="36" customWidth="1"/>
    <col min="5384" max="5384" width="5.28515625" style="36" customWidth="1"/>
    <col min="5385" max="5385" width="10" style="36" customWidth="1"/>
    <col min="5386" max="5386" width="5.28515625" style="36" customWidth="1"/>
    <col min="5387" max="5387" width="11.42578125" style="36" customWidth="1"/>
    <col min="5388" max="5388" width="5.28515625" style="36" customWidth="1"/>
    <col min="5389" max="5389" width="10.28515625" style="36" customWidth="1"/>
    <col min="5390" max="5390" width="8.5703125" style="36" customWidth="1"/>
    <col min="5391" max="5392" width="0.42578125" style="36" customWidth="1"/>
    <col min="5393" max="5393" width="9.140625" style="36" customWidth="1"/>
    <col min="5394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5.28515625" style="36" customWidth="1"/>
    <col min="5637" max="5637" width="11.42578125" style="36" customWidth="1"/>
    <col min="5638" max="5638" width="5.28515625" style="36" customWidth="1"/>
    <col min="5639" max="5639" width="7.5703125" style="36" customWidth="1"/>
    <col min="5640" max="5640" width="5.28515625" style="36" customWidth="1"/>
    <col min="5641" max="5641" width="10" style="36" customWidth="1"/>
    <col min="5642" max="5642" width="5.28515625" style="36" customWidth="1"/>
    <col min="5643" max="5643" width="11.42578125" style="36" customWidth="1"/>
    <col min="5644" max="5644" width="5.28515625" style="36" customWidth="1"/>
    <col min="5645" max="5645" width="10.28515625" style="36" customWidth="1"/>
    <col min="5646" max="5646" width="8.5703125" style="36" customWidth="1"/>
    <col min="5647" max="5648" width="0.42578125" style="36" customWidth="1"/>
    <col min="5649" max="5649" width="9.140625" style="36" customWidth="1"/>
    <col min="5650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5.28515625" style="36" customWidth="1"/>
    <col min="5893" max="5893" width="11.42578125" style="36" customWidth="1"/>
    <col min="5894" max="5894" width="5.28515625" style="36" customWidth="1"/>
    <col min="5895" max="5895" width="7.5703125" style="36" customWidth="1"/>
    <col min="5896" max="5896" width="5.28515625" style="36" customWidth="1"/>
    <col min="5897" max="5897" width="10" style="36" customWidth="1"/>
    <col min="5898" max="5898" width="5.28515625" style="36" customWidth="1"/>
    <col min="5899" max="5899" width="11.42578125" style="36" customWidth="1"/>
    <col min="5900" max="5900" width="5.28515625" style="36" customWidth="1"/>
    <col min="5901" max="5901" width="10.28515625" style="36" customWidth="1"/>
    <col min="5902" max="5902" width="8.5703125" style="36" customWidth="1"/>
    <col min="5903" max="5904" width="0.42578125" style="36" customWidth="1"/>
    <col min="5905" max="5905" width="9.140625" style="36" customWidth="1"/>
    <col min="5906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5.28515625" style="36" customWidth="1"/>
    <col min="6149" max="6149" width="11.42578125" style="36" customWidth="1"/>
    <col min="6150" max="6150" width="5.28515625" style="36" customWidth="1"/>
    <col min="6151" max="6151" width="7.5703125" style="36" customWidth="1"/>
    <col min="6152" max="6152" width="5.28515625" style="36" customWidth="1"/>
    <col min="6153" max="6153" width="10" style="36" customWidth="1"/>
    <col min="6154" max="6154" width="5.28515625" style="36" customWidth="1"/>
    <col min="6155" max="6155" width="11.42578125" style="36" customWidth="1"/>
    <col min="6156" max="6156" width="5.28515625" style="36" customWidth="1"/>
    <col min="6157" max="6157" width="10.28515625" style="36" customWidth="1"/>
    <col min="6158" max="6158" width="8.5703125" style="36" customWidth="1"/>
    <col min="6159" max="6160" width="0.42578125" style="36" customWidth="1"/>
    <col min="6161" max="6161" width="9.140625" style="36" customWidth="1"/>
    <col min="6162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5.28515625" style="36" customWidth="1"/>
    <col min="6405" max="6405" width="11.42578125" style="36" customWidth="1"/>
    <col min="6406" max="6406" width="5.28515625" style="36" customWidth="1"/>
    <col min="6407" max="6407" width="7.5703125" style="36" customWidth="1"/>
    <col min="6408" max="6408" width="5.28515625" style="36" customWidth="1"/>
    <col min="6409" max="6409" width="10" style="36" customWidth="1"/>
    <col min="6410" max="6410" width="5.28515625" style="36" customWidth="1"/>
    <col min="6411" max="6411" width="11.42578125" style="36" customWidth="1"/>
    <col min="6412" max="6412" width="5.28515625" style="36" customWidth="1"/>
    <col min="6413" max="6413" width="10.28515625" style="36" customWidth="1"/>
    <col min="6414" max="6414" width="8.5703125" style="36" customWidth="1"/>
    <col min="6415" max="6416" width="0.42578125" style="36" customWidth="1"/>
    <col min="6417" max="6417" width="9.140625" style="36" customWidth="1"/>
    <col min="6418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5.28515625" style="36" customWidth="1"/>
    <col min="6661" max="6661" width="11.42578125" style="36" customWidth="1"/>
    <col min="6662" max="6662" width="5.28515625" style="36" customWidth="1"/>
    <col min="6663" max="6663" width="7.5703125" style="36" customWidth="1"/>
    <col min="6664" max="6664" width="5.28515625" style="36" customWidth="1"/>
    <col min="6665" max="6665" width="10" style="36" customWidth="1"/>
    <col min="6666" max="6666" width="5.28515625" style="36" customWidth="1"/>
    <col min="6667" max="6667" width="11.42578125" style="36" customWidth="1"/>
    <col min="6668" max="6668" width="5.28515625" style="36" customWidth="1"/>
    <col min="6669" max="6669" width="10.28515625" style="36" customWidth="1"/>
    <col min="6670" max="6670" width="8.5703125" style="36" customWidth="1"/>
    <col min="6671" max="6672" width="0.42578125" style="36" customWidth="1"/>
    <col min="6673" max="6673" width="9.140625" style="36" customWidth="1"/>
    <col min="6674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5.28515625" style="36" customWidth="1"/>
    <col min="6917" max="6917" width="11.42578125" style="36" customWidth="1"/>
    <col min="6918" max="6918" width="5.28515625" style="36" customWidth="1"/>
    <col min="6919" max="6919" width="7.5703125" style="36" customWidth="1"/>
    <col min="6920" max="6920" width="5.28515625" style="36" customWidth="1"/>
    <col min="6921" max="6921" width="10" style="36" customWidth="1"/>
    <col min="6922" max="6922" width="5.28515625" style="36" customWidth="1"/>
    <col min="6923" max="6923" width="11.42578125" style="36" customWidth="1"/>
    <col min="6924" max="6924" width="5.28515625" style="36" customWidth="1"/>
    <col min="6925" max="6925" width="10.28515625" style="36" customWidth="1"/>
    <col min="6926" max="6926" width="8.5703125" style="36" customWidth="1"/>
    <col min="6927" max="6928" width="0.42578125" style="36" customWidth="1"/>
    <col min="6929" max="6929" width="9.140625" style="36" customWidth="1"/>
    <col min="6930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5.28515625" style="36" customWidth="1"/>
    <col min="7173" max="7173" width="11.42578125" style="36" customWidth="1"/>
    <col min="7174" max="7174" width="5.28515625" style="36" customWidth="1"/>
    <col min="7175" max="7175" width="7.5703125" style="36" customWidth="1"/>
    <col min="7176" max="7176" width="5.28515625" style="36" customWidth="1"/>
    <col min="7177" max="7177" width="10" style="36" customWidth="1"/>
    <col min="7178" max="7178" width="5.28515625" style="36" customWidth="1"/>
    <col min="7179" max="7179" width="11.42578125" style="36" customWidth="1"/>
    <col min="7180" max="7180" width="5.28515625" style="36" customWidth="1"/>
    <col min="7181" max="7181" width="10.28515625" style="36" customWidth="1"/>
    <col min="7182" max="7182" width="8.5703125" style="36" customWidth="1"/>
    <col min="7183" max="7184" width="0.42578125" style="36" customWidth="1"/>
    <col min="7185" max="7185" width="9.140625" style="36" customWidth="1"/>
    <col min="7186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5.28515625" style="36" customWidth="1"/>
    <col min="7429" max="7429" width="11.42578125" style="36" customWidth="1"/>
    <col min="7430" max="7430" width="5.28515625" style="36" customWidth="1"/>
    <col min="7431" max="7431" width="7.5703125" style="36" customWidth="1"/>
    <col min="7432" max="7432" width="5.28515625" style="36" customWidth="1"/>
    <col min="7433" max="7433" width="10" style="36" customWidth="1"/>
    <col min="7434" max="7434" width="5.28515625" style="36" customWidth="1"/>
    <col min="7435" max="7435" width="11.42578125" style="36" customWidth="1"/>
    <col min="7436" max="7436" width="5.28515625" style="36" customWidth="1"/>
    <col min="7437" max="7437" width="10.28515625" style="36" customWidth="1"/>
    <col min="7438" max="7438" width="8.5703125" style="36" customWidth="1"/>
    <col min="7439" max="7440" width="0.42578125" style="36" customWidth="1"/>
    <col min="7441" max="7441" width="9.140625" style="36" customWidth="1"/>
    <col min="7442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5.28515625" style="36" customWidth="1"/>
    <col min="7685" max="7685" width="11.42578125" style="36" customWidth="1"/>
    <col min="7686" max="7686" width="5.28515625" style="36" customWidth="1"/>
    <col min="7687" max="7687" width="7.5703125" style="36" customWidth="1"/>
    <col min="7688" max="7688" width="5.28515625" style="36" customWidth="1"/>
    <col min="7689" max="7689" width="10" style="36" customWidth="1"/>
    <col min="7690" max="7690" width="5.28515625" style="36" customWidth="1"/>
    <col min="7691" max="7691" width="11.42578125" style="36" customWidth="1"/>
    <col min="7692" max="7692" width="5.28515625" style="36" customWidth="1"/>
    <col min="7693" max="7693" width="10.28515625" style="36" customWidth="1"/>
    <col min="7694" max="7694" width="8.5703125" style="36" customWidth="1"/>
    <col min="7695" max="7696" width="0.42578125" style="36" customWidth="1"/>
    <col min="7697" max="7697" width="9.140625" style="36" customWidth="1"/>
    <col min="7698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5.28515625" style="36" customWidth="1"/>
    <col min="7941" max="7941" width="11.42578125" style="36" customWidth="1"/>
    <col min="7942" max="7942" width="5.28515625" style="36" customWidth="1"/>
    <col min="7943" max="7943" width="7.5703125" style="36" customWidth="1"/>
    <col min="7944" max="7944" width="5.28515625" style="36" customWidth="1"/>
    <col min="7945" max="7945" width="10" style="36" customWidth="1"/>
    <col min="7946" max="7946" width="5.28515625" style="36" customWidth="1"/>
    <col min="7947" max="7947" width="11.42578125" style="36" customWidth="1"/>
    <col min="7948" max="7948" width="5.28515625" style="36" customWidth="1"/>
    <col min="7949" max="7949" width="10.28515625" style="36" customWidth="1"/>
    <col min="7950" max="7950" width="8.5703125" style="36" customWidth="1"/>
    <col min="7951" max="7952" width="0.42578125" style="36" customWidth="1"/>
    <col min="7953" max="7953" width="9.140625" style="36" customWidth="1"/>
    <col min="7954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5.28515625" style="36" customWidth="1"/>
    <col min="8197" max="8197" width="11.42578125" style="36" customWidth="1"/>
    <col min="8198" max="8198" width="5.28515625" style="36" customWidth="1"/>
    <col min="8199" max="8199" width="7.5703125" style="36" customWidth="1"/>
    <col min="8200" max="8200" width="5.28515625" style="36" customWidth="1"/>
    <col min="8201" max="8201" width="10" style="36" customWidth="1"/>
    <col min="8202" max="8202" width="5.28515625" style="36" customWidth="1"/>
    <col min="8203" max="8203" width="11.42578125" style="36" customWidth="1"/>
    <col min="8204" max="8204" width="5.28515625" style="36" customWidth="1"/>
    <col min="8205" max="8205" width="10.28515625" style="36" customWidth="1"/>
    <col min="8206" max="8206" width="8.5703125" style="36" customWidth="1"/>
    <col min="8207" max="8208" width="0.42578125" style="36" customWidth="1"/>
    <col min="8209" max="8209" width="9.140625" style="36" customWidth="1"/>
    <col min="8210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5.28515625" style="36" customWidth="1"/>
    <col min="8453" max="8453" width="11.42578125" style="36" customWidth="1"/>
    <col min="8454" max="8454" width="5.28515625" style="36" customWidth="1"/>
    <col min="8455" max="8455" width="7.5703125" style="36" customWidth="1"/>
    <col min="8456" max="8456" width="5.28515625" style="36" customWidth="1"/>
    <col min="8457" max="8457" width="10" style="36" customWidth="1"/>
    <col min="8458" max="8458" width="5.28515625" style="36" customWidth="1"/>
    <col min="8459" max="8459" width="11.42578125" style="36" customWidth="1"/>
    <col min="8460" max="8460" width="5.28515625" style="36" customWidth="1"/>
    <col min="8461" max="8461" width="10.28515625" style="36" customWidth="1"/>
    <col min="8462" max="8462" width="8.5703125" style="36" customWidth="1"/>
    <col min="8463" max="8464" width="0.42578125" style="36" customWidth="1"/>
    <col min="8465" max="8465" width="9.140625" style="36" customWidth="1"/>
    <col min="8466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5.28515625" style="36" customWidth="1"/>
    <col min="8709" max="8709" width="11.42578125" style="36" customWidth="1"/>
    <col min="8710" max="8710" width="5.28515625" style="36" customWidth="1"/>
    <col min="8711" max="8711" width="7.5703125" style="36" customWidth="1"/>
    <col min="8712" max="8712" width="5.28515625" style="36" customWidth="1"/>
    <col min="8713" max="8713" width="10" style="36" customWidth="1"/>
    <col min="8714" max="8714" width="5.28515625" style="36" customWidth="1"/>
    <col min="8715" max="8715" width="11.42578125" style="36" customWidth="1"/>
    <col min="8716" max="8716" width="5.28515625" style="36" customWidth="1"/>
    <col min="8717" max="8717" width="10.28515625" style="36" customWidth="1"/>
    <col min="8718" max="8718" width="8.5703125" style="36" customWidth="1"/>
    <col min="8719" max="8720" width="0.42578125" style="36" customWidth="1"/>
    <col min="8721" max="8721" width="9.140625" style="36" customWidth="1"/>
    <col min="8722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5.28515625" style="36" customWidth="1"/>
    <col min="8965" max="8965" width="11.42578125" style="36" customWidth="1"/>
    <col min="8966" max="8966" width="5.28515625" style="36" customWidth="1"/>
    <col min="8967" max="8967" width="7.5703125" style="36" customWidth="1"/>
    <col min="8968" max="8968" width="5.28515625" style="36" customWidth="1"/>
    <col min="8969" max="8969" width="10" style="36" customWidth="1"/>
    <col min="8970" max="8970" width="5.28515625" style="36" customWidth="1"/>
    <col min="8971" max="8971" width="11.42578125" style="36" customWidth="1"/>
    <col min="8972" max="8972" width="5.28515625" style="36" customWidth="1"/>
    <col min="8973" max="8973" width="10.28515625" style="36" customWidth="1"/>
    <col min="8974" max="8974" width="8.5703125" style="36" customWidth="1"/>
    <col min="8975" max="8976" width="0.42578125" style="36" customWidth="1"/>
    <col min="8977" max="8977" width="9.140625" style="36" customWidth="1"/>
    <col min="8978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5.28515625" style="36" customWidth="1"/>
    <col min="9221" max="9221" width="11.42578125" style="36" customWidth="1"/>
    <col min="9222" max="9222" width="5.28515625" style="36" customWidth="1"/>
    <col min="9223" max="9223" width="7.5703125" style="36" customWidth="1"/>
    <col min="9224" max="9224" width="5.28515625" style="36" customWidth="1"/>
    <col min="9225" max="9225" width="10" style="36" customWidth="1"/>
    <col min="9226" max="9226" width="5.28515625" style="36" customWidth="1"/>
    <col min="9227" max="9227" width="11.42578125" style="36" customWidth="1"/>
    <col min="9228" max="9228" width="5.28515625" style="36" customWidth="1"/>
    <col min="9229" max="9229" width="10.28515625" style="36" customWidth="1"/>
    <col min="9230" max="9230" width="8.5703125" style="36" customWidth="1"/>
    <col min="9231" max="9232" width="0.42578125" style="36" customWidth="1"/>
    <col min="9233" max="9233" width="9.140625" style="36" customWidth="1"/>
    <col min="9234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5.28515625" style="36" customWidth="1"/>
    <col min="9477" max="9477" width="11.42578125" style="36" customWidth="1"/>
    <col min="9478" max="9478" width="5.28515625" style="36" customWidth="1"/>
    <col min="9479" max="9479" width="7.5703125" style="36" customWidth="1"/>
    <col min="9480" max="9480" width="5.28515625" style="36" customWidth="1"/>
    <col min="9481" max="9481" width="10" style="36" customWidth="1"/>
    <col min="9482" max="9482" width="5.28515625" style="36" customWidth="1"/>
    <col min="9483" max="9483" width="11.42578125" style="36" customWidth="1"/>
    <col min="9484" max="9484" width="5.28515625" style="36" customWidth="1"/>
    <col min="9485" max="9485" width="10.28515625" style="36" customWidth="1"/>
    <col min="9486" max="9486" width="8.5703125" style="36" customWidth="1"/>
    <col min="9487" max="9488" width="0.42578125" style="36" customWidth="1"/>
    <col min="9489" max="9489" width="9.140625" style="36" customWidth="1"/>
    <col min="9490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5.28515625" style="36" customWidth="1"/>
    <col min="9733" max="9733" width="11.42578125" style="36" customWidth="1"/>
    <col min="9734" max="9734" width="5.28515625" style="36" customWidth="1"/>
    <col min="9735" max="9735" width="7.5703125" style="36" customWidth="1"/>
    <col min="9736" max="9736" width="5.28515625" style="36" customWidth="1"/>
    <col min="9737" max="9737" width="10" style="36" customWidth="1"/>
    <col min="9738" max="9738" width="5.28515625" style="36" customWidth="1"/>
    <col min="9739" max="9739" width="11.42578125" style="36" customWidth="1"/>
    <col min="9740" max="9740" width="5.28515625" style="36" customWidth="1"/>
    <col min="9741" max="9741" width="10.28515625" style="36" customWidth="1"/>
    <col min="9742" max="9742" width="8.5703125" style="36" customWidth="1"/>
    <col min="9743" max="9744" width="0.42578125" style="36" customWidth="1"/>
    <col min="9745" max="9745" width="9.140625" style="36" customWidth="1"/>
    <col min="9746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5.28515625" style="36" customWidth="1"/>
    <col min="9989" max="9989" width="11.42578125" style="36" customWidth="1"/>
    <col min="9990" max="9990" width="5.28515625" style="36" customWidth="1"/>
    <col min="9991" max="9991" width="7.5703125" style="36" customWidth="1"/>
    <col min="9992" max="9992" width="5.28515625" style="36" customWidth="1"/>
    <col min="9993" max="9993" width="10" style="36" customWidth="1"/>
    <col min="9994" max="9994" width="5.28515625" style="36" customWidth="1"/>
    <col min="9995" max="9995" width="11.42578125" style="36" customWidth="1"/>
    <col min="9996" max="9996" width="5.28515625" style="36" customWidth="1"/>
    <col min="9997" max="9997" width="10.28515625" style="36" customWidth="1"/>
    <col min="9998" max="9998" width="8.5703125" style="36" customWidth="1"/>
    <col min="9999" max="10000" width="0.42578125" style="36" customWidth="1"/>
    <col min="10001" max="10001" width="9.140625" style="36" customWidth="1"/>
    <col min="10002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5.28515625" style="36" customWidth="1"/>
    <col min="10245" max="10245" width="11.42578125" style="36" customWidth="1"/>
    <col min="10246" max="10246" width="5.28515625" style="36" customWidth="1"/>
    <col min="10247" max="10247" width="7.5703125" style="36" customWidth="1"/>
    <col min="10248" max="10248" width="5.28515625" style="36" customWidth="1"/>
    <col min="10249" max="10249" width="10" style="36" customWidth="1"/>
    <col min="10250" max="10250" width="5.28515625" style="36" customWidth="1"/>
    <col min="10251" max="10251" width="11.42578125" style="36" customWidth="1"/>
    <col min="10252" max="10252" width="5.28515625" style="36" customWidth="1"/>
    <col min="10253" max="10253" width="10.28515625" style="36" customWidth="1"/>
    <col min="10254" max="10254" width="8.5703125" style="36" customWidth="1"/>
    <col min="10255" max="10256" width="0.42578125" style="36" customWidth="1"/>
    <col min="10257" max="10257" width="9.140625" style="36" customWidth="1"/>
    <col min="10258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5.28515625" style="36" customWidth="1"/>
    <col min="10501" max="10501" width="11.42578125" style="36" customWidth="1"/>
    <col min="10502" max="10502" width="5.28515625" style="36" customWidth="1"/>
    <col min="10503" max="10503" width="7.5703125" style="36" customWidth="1"/>
    <col min="10504" max="10504" width="5.28515625" style="36" customWidth="1"/>
    <col min="10505" max="10505" width="10" style="36" customWidth="1"/>
    <col min="10506" max="10506" width="5.28515625" style="36" customWidth="1"/>
    <col min="10507" max="10507" width="11.42578125" style="36" customWidth="1"/>
    <col min="10508" max="10508" width="5.28515625" style="36" customWidth="1"/>
    <col min="10509" max="10509" width="10.28515625" style="36" customWidth="1"/>
    <col min="10510" max="10510" width="8.5703125" style="36" customWidth="1"/>
    <col min="10511" max="10512" width="0.42578125" style="36" customWidth="1"/>
    <col min="10513" max="10513" width="9.140625" style="36" customWidth="1"/>
    <col min="10514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5.28515625" style="36" customWidth="1"/>
    <col min="10757" max="10757" width="11.42578125" style="36" customWidth="1"/>
    <col min="10758" max="10758" width="5.28515625" style="36" customWidth="1"/>
    <col min="10759" max="10759" width="7.5703125" style="36" customWidth="1"/>
    <col min="10760" max="10760" width="5.28515625" style="36" customWidth="1"/>
    <col min="10761" max="10761" width="10" style="36" customWidth="1"/>
    <col min="10762" max="10762" width="5.28515625" style="36" customWidth="1"/>
    <col min="10763" max="10763" width="11.42578125" style="36" customWidth="1"/>
    <col min="10764" max="10764" width="5.28515625" style="36" customWidth="1"/>
    <col min="10765" max="10765" width="10.28515625" style="36" customWidth="1"/>
    <col min="10766" max="10766" width="8.5703125" style="36" customWidth="1"/>
    <col min="10767" max="10768" width="0.42578125" style="36" customWidth="1"/>
    <col min="10769" max="10769" width="9.140625" style="36" customWidth="1"/>
    <col min="10770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5.28515625" style="36" customWidth="1"/>
    <col min="11013" max="11013" width="11.42578125" style="36" customWidth="1"/>
    <col min="11014" max="11014" width="5.28515625" style="36" customWidth="1"/>
    <col min="11015" max="11015" width="7.5703125" style="36" customWidth="1"/>
    <col min="11016" max="11016" width="5.28515625" style="36" customWidth="1"/>
    <col min="11017" max="11017" width="10" style="36" customWidth="1"/>
    <col min="11018" max="11018" width="5.28515625" style="36" customWidth="1"/>
    <col min="11019" max="11019" width="11.42578125" style="36" customWidth="1"/>
    <col min="11020" max="11020" width="5.28515625" style="36" customWidth="1"/>
    <col min="11021" max="11021" width="10.28515625" style="36" customWidth="1"/>
    <col min="11022" max="11022" width="8.5703125" style="36" customWidth="1"/>
    <col min="11023" max="11024" width="0.42578125" style="36" customWidth="1"/>
    <col min="11025" max="11025" width="9.140625" style="36" customWidth="1"/>
    <col min="11026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5.28515625" style="36" customWidth="1"/>
    <col min="11269" max="11269" width="11.42578125" style="36" customWidth="1"/>
    <col min="11270" max="11270" width="5.28515625" style="36" customWidth="1"/>
    <col min="11271" max="11271" width="7.5703125" style="36" customWidth="1"/>
    <col min="11272" max="11272" width="5.28515625" style="36" customWidth="1"/>
    <col min="11273" max="11273" width="10" style="36" customWidth="1"/>
    <col min="11274" max="11274" width="5.28515625" style="36" customWidth="1"/>
    <col min="11275" max="11275" width="11.42578125" style="36" customWidth="1"/>
    <col min="11276" max="11276" width="5.28515625" style="36" customWidth="1"/>
    <col min="11277" max="11277" width="10.28515625" style="36" customWidth="1"/>
    <col min="11278" max="11278" width="8.5703125" style="36" customWidth="1"/>
    <col min="11279" max="11280" width="0.42578125" style="36" customWidth="1"/>
    <col min="11281" max="11281" width="9.140625" style="36" customWidth="1"/>
    <col min="11282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5.28515625" style="36" customWidth="1"/>
    <col min="11525" max="11525" width="11.42578125" style="36" customWidth="1"/>
    <col min="11526" max="11526" width="5.28515625" style="36" customWidth="1"/>
    <col min="11527" max="11527" width="7.5703125" style="36" customWidth="1"/>
    <col min="11528" max="11528" width="5.28515625" style="36" customWidth="1"/>
    <col min="11529" max="11529" width="10" style="36" customWidth="1"/>
    <col min="11530" max="11530" width="5.28515625" style="36" customWidth="1"/>
    <col min="11531" max="11531" width="11.42578125" style="36" customWidth="1"/>
    <col min="11532" max="11532" width="5.28515625" style="36" customWidth="1"/>
    <col min="11533" max="11533" width="10.28515625" style="36" customWidth="1"/>
    <col min="11534" max="11534" width="8.5703125" style="36" customWidth="1"/>
    <col min="11535" max="11536" width="0.42578125" style="36" customWidth="1"/>
    <col min="11537" max="11537" width="9.140625" style="36" customWidth="1"/>
    <col min="11538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5.28515625" style="36" customWidth="1"/>
    <col min="11781" max="11781" width="11.42578125" style="36" customWidth="1"/>
    <col min="11782" max="11782" width="5.28515625" style="36" customWidth="1"/>
    <col min="11783" max="11783" width="7.5703125" style="36" customWidth="1"/>
    <col min="11784" max="11784" width="5.28515625" style="36" customWidth="1"/>
    <col min="11785" max="11785" width="10" style="36" customWidth="1"/>
    <col min="11786" max="11786" width="5.28515625" style="36" customWidth="1"/>
    <col min="11787" max="11787" width="11.42578125" style="36" customWidth="1"/>
    <col min="11788" max="11788" width="5.28515625" style="36" customWidth="1"/>
    <col min="11789" max="11789" width="10.28515625" style="36" customWidth="1"/>
    <col min="11790" max="11790" width="8.5703125" style="36" customWidth="1"/>
    <col min="11791" max="11792" width="0.42578125" style="36" customWidth="1"/>
    <col min="11793" max="11793" width="9.140625" style="36" customWidth="1"/>
    <col min="11794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5.28515625" style="36" customWidth="1"/>
    <col min="12037" max="12037" width="11.42578125" style="36" customWidth="1"/>
    <col min="12038" max="12038" width="5.28515625" style="36" customWidth="1"/>
    <col min="12039" max="12039" width="7.5703125" style="36" customWidth="1"/>
    <col min="12040" max="12040" width="5.28515625" style="36" customWidth="1"/>
    <col min="12041" max="12041" width="10" style="36" customWidth="1"/>
    <col min="12042" max="12042" width="5.28515625" style="36" customWidth="1"/>
    <col min="12043" max="12043" width="11.42578125" style="36" customWidth="1"/>
    <col min="12044" max="12044" width="5.28515625" style="36" customWidth="1"/>
    <col min="12045" max="12045" width="10.28515625" style="36" customWidth="1"/>
    <col min="12046" max="12046" width="8.5703125" style="36" customWidth="1"/>
    <col min="12047" max="12048" width="0.42578125" style="36" customWidth="1"/>
    <col min="12049" max="12049" width="9.140625" style="36" customWidth="1"/>
    <col min="12050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5.28515625" style="36" customWidth="1"/>
    <col min="12293" max="12293" width="11.42578125" style="36" customWidth="1"/>
    <col min="12294" max="12294" width="5.28515625" style="36" customWidth="1"/>
    <col min="12295" max="12295" width="7.5703125" style="36" customWidth="1"/>
    <col min="12296" max="12296" width="5.28515625" style="36" customWidth="1"/>
    <col min="12297" max="12297" width="10" style="36" customWidth="1"/>
    <col min="12298" max="12298" width="5.28515625" style="36" customWidth="1"/>
    <col min="12299" max="12299" width="11.42578125" style="36" customWidth="1"/>
    <col min="12300" max="12300" width="5.28515625" style="36" customWidth="1"/>
    <col min="12301" max="12301" width="10.28515625" style="36" customWidth="1"/>
    <col min="12302" max="12302" width="8.5703125" style="36" customWidth="1"/>
    <col min="12303" max="12304" width="0.42578125" style="36" customWidth="1"/>
    <col min="12305" max="12305" width="9.140625" style="36" customWidth="1"/>
    <col min="12306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5.28515625" style="36" customWidth="1"/>
    <col min="12549" max="12549" width="11.42578125" style="36" customWidth="1"/>
    <col min="12550" max="12550" width="5.28515625" style="36" customWidth="1"/>
    <col min="12551" max="12551" width="7.5703125" style="36" customWidth="1"/>
    <col min="12552" max="12552" width="5.28515625" style="36" customWidth="1"/>
    <col min="12553" max="12553" width="10" style="36" customWidth="1"/>
    <col min="12554" max="12554" width="5.28515625" style="36" customWidth="1"/>
    <col min="12555" max="12555" width="11.42578125" style="36" customWidth="1"/>
    <col min="12556" max="12556" width="5.28515625" style="36" customWidth="1"/>
    <col min="12557" max="12557" width="10.28515625" style="36" customWidth="1"/>
    <col min="12558" max="12558" width="8.5703125" style="36" customWidth="1"/>
    <col min="12559" max="12560" width="0.42578125" style="36" customWidth="1"/>
    <col min="12561" max="12561" width="9.140625" style="36" customWidth="1"/>
    <col min="12562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5.28515625" style="36" customWidth="1"/>
    <col min="12805" max="12805" width="11.42578125" style="36" customWidth="1"/>
    <col min="12806" max="12806" width="5.28515625" style="36" customWidth="1"/>
    <col min="12807" max="12807" width="7.5703125" style="36" customWidth="1"/>
    <col min="12808" max="12808" width="5.28515625" style="36" customWidth="1"/>
    <col min="12809" max="12809" width="10" style="36" customWidth="1"/>
    <col min="12810" max="12810" width="5.28515625" style="36" customWidth="1"/>
    <col min="12811" max="12811" width="11.42578125" style="36" customWidth="1"/>
    <col min="12812" max="12812" width="5.28515625" style="36" customWidth="1"/>
    <col min="12813" max="12813" width="10.28515625" style="36" customWidth="1"/>
    <col min="12814" max="12814" width="8.5703125" style="36" customWidth="1"/>
    <col min="12815" max="12816" width="0.42578125" style="36" customWidth="1"/>
    <col min="12817" max="12817" width="9.140625" style="36" customWidth="1"/>
    <col min="12818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5.28515625" style="36" customWidth="1"/>
    <col min="13061" max="13061" width="11.42578125" style="36" customWidth="1"/>
    <col min="13062" max="13062" width="5.28515625" style="36" customWidth="1"/>
    <col min="13063" max="13063" width="7.5703125" style="36" customWidth="1"/>
    <col min="13064" max="13064" width="5.28515625" style="36" customWidth="1"/>
    <col min="13065" max="13065" width="10" style="36" customWidth="1"/>
    <col min="13066" max="13066" width="5.28515625" style="36" customWidth="1"/>
    <col min="13067" max="13067" width="11.42578125" style="36" customWidth="1"/>
    <col min="13068" max="13068" width="5.28515625" style="36" customWidth="1"/>
    <col min="13069" max="13069" width="10.28515625" style="36" customWidth="1"/>
    <col min="13070" max="13070" width="8.5703125" style="36" customWidth="1"/>
    <col min="13071" max="13072" width="0.42578125" style="36" customWidth="1"/>
    <col min="13073" max="13073" width="9.140625" style="36" customWidth="1"/>
    <col min="13074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5.28515625" style="36" customWidth="1"/>
    <col min="13317" max="13317" width="11.42578125" style="36" customWidth="1"/>
    <col min="13318" max="13318" width="5.28515625" style="36" customWidth="1"/>
    <col min="13319" max="13319" width="7.5703125" style="36" customWidth="1"/>
    <col min="13320" max="13320" width="5.28515625" style="36" customWidth="1"/>
    <col min="13321" max="13321" width="10" style="36" customWidth="1"/>
    <col min="13322" max="13322" width="5.28515625" style="36" customWidth="1"/>
    <col min="13323" max="13323" width="11.42578125" style="36" customWidth="1"/>
    <col min="13324" max="13324" width="5.28515625" style="36" customWidth="1"/>
    <col min="13325" max="13325" width="10.28515625" style="36" customWidth="1"/>
    <col min="13326" max="13326" width="8.5703125" style="36" customWidth="1"/>
    <col min="13327" max="13328" width="0.42578125" style="36" customWidth="1"/>
    <col min="13329" max="13329" width="9.140625" style="36" customWidth="1"/>
    <col min="13330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5.28515625" style="36" customWidth="1"/>
    <col min="13573" max="13573" width="11.42578125" style="36" customWidth="1"/>
    <col min="13574" max="13574" width="5.28515625" style="36" customWidth="1"/>
    <col min="13575" max="13575" width="7.5703125" style="36" customWidth="1"/>
    <col min="13576" max="13576" width="5.28515625" style="36" customWidth="1"/>
    <col min="13577" max="13577" width="10" style="36" customWidth="1"/>
    <col min="13578" max="13578" width="5.28515625" style="36" customWidth="1"/>
    <col min="13579" max="13579" width="11.42578125" style="36" customWidth="1"/>
    <col min="13580" max="13580" width="5.28515625" style="36" customWidth="1"/>
    <col min="13581" max="13581" width="10.28515625" style="36" customWidth="1"/>
    <col min="13582" max="13582" width="8.5703125" style="36" customWidth="1"/>
    <col min="13583" max="13584" width="0.42578125" style="36" customWidth="1"/>
    <col min="13585" max="13585" width="9.140625" style="36" customWidth="1"/>
    <col min="13586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5.28515625" style="36" customWidth="1"/>
    <col min="13829" max="13829" width="11.42578125" style="36" customWidth="1"/>
    <col min="13830" max="13830" width="5.28515625" style="36" customWidth="1"/>
    <col min="13831" max="13831" width="7.5703125" style="36" customWidth="1"/>
    <col min="13832" max="13832" width="5.28515625" style="36" customWidth="1"/>
    <col min="13833" max="13833" width="10" style="36" customWidth="1"/>
    <col min="13834" max="13834" width="5.28515625" style="36" customWidth="1"/>
    <col min="13835" max="13835" width="11.42578125" style="36" customWidth="1"/>
    <col min="13836" max="13836" width="5.28515625" style="36" customWidth="1"/>
    <col min="13837" max="13837" width="10.28515625" style="36" customWidth="1"/>
    <col min="13838" max="13838" width="8.5703125" style="36" customWidth="1"/>
    <col min="13839" max="13840" width="0.42578125" style="36" customWidth="1"/>
    <col min="13841" max="13841" width="9.140625" style="36" customWidth="1"/>
    <col min="13842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5.28515625" style="36" customWidth="1"/>
    <col min="14085" max="14085" width="11.42578125" style="36" customWidth="1"/>
    <col min="14086" max="14086" width="5.28515625" style="36" customWidth="1"/>
    <col min="14087" max="14087" width="7.5703125" style="36" customWidth="1"/>
    <col min="14088" max="14088" width="5.28515625" style="36" customWidth="1"/>
    <col min="14089" max="14089" width="10" style="36" customWidth="1"/>
    <col min="14090" max="14090" width="5.28515625" style="36" customWidth="1"/>
    <col min="14091" max="14091" width="11.42578125" style="36" customWidth="1"/>
    <col min="14092" max="14092" width="5.28515625" style="36" customWidth="1"/>
    <col min="14093" max="14093" width="10.28515625" style="36" customWidth="1"/>
    <col min="14094" max="14094" width="8.5703125" style="36" customWidth="1"/>
    <col min="14095" max="14096" width="0.42578125" style="36" customWidth="1"/>
    <col min="14097" max="14097" width="9.140625" style="36" customWidth="1"/>
    <col min="14098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5.28515625" style="36" customWidth="1"/>
    <col min="14341" max="14341" width="11.42578125" style="36" customWidth="1"/>
    <col min="14342" max="14342" width="5.28515625" style="36" customWidth="1"/>
    <col min="14343" max="14343" width="7.5703125" style="36" customWidth="1"/>
    <col min="14344" max="14344" width="5.28515625" style="36" customWidth="1"/>
    <col min="14345" max="14345" width="10" style="36" customWidth="1"/>
    <col min="14346" max="14346" width="5.28515625" style="36" customWidth="1"/>
    <col min="14347" max="14347" width="11.42578125" style="36" customWidth="1"/>
    <col min="14348" max="14348" width="5.28515625" style="36" customWidth="1"/>
    <col min="14349" max="14349" width="10.28515625" style="36" customWidth="1"/>
    <col min="14350" max="14350" width="8.5703125" style="36" customWidth="1"/>
    <col min="14351" max="14352" width="0.42578125" style="36" customWidth="1"/>
    <col min="14353" max="14353" width="9.140625" style="36" customWidth="1"/>
    <col min="14354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5.28515625" style="36" customWidth="1"/>
    <col min="14597" max="14597" width="11.42578125" style="36" customWidth="1"/>
    <col min="14598" max="14598" width="5.28515625" style="36" customWidth="1"/>
    <col min="14599" max="14599" width="7.5703125" style="36" customWidth="1"/>
    <col min="14600" max="14600" width="5.28515625" style="36" customWidth="1"/>
    <col min="14601" max="14601" width="10" style="36" customWidth="1"/>
    <col min="14602" max="14602" width="5.28515625" style="36" customWidth="1"/>
    <col min="14603" max="14603" width="11.42578125" style="36" customWidth="1"/>
    <col min="14604" max="14604" width="5.28515625" style="36" customWidth="1"/>
    <col min="14605" max="14605" width="10.28515625" style="36" customWidth="1"/>
    <col min="14606" max="14606" width="8.5703125" style="36" customWidth="1"/>
    <col min="14607" max="14608" width="0.42578125" style="36" customWidth="1"/>
    <col min="14609" max="14609" width="9.140625" style="36" customWidth="1"/>
    <col min="14610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5.28515625" style="36" customWidth="1"/>
    <col min="14853" max="14853" width="11.42578125" style="36" customWidth="1"/>
    <col min="14854" max="14854" width="5.28515625" style="36" customWidth="1"/>
    <col min="14855" max="14855" width="7.5703125" style="36" customWidth="1"/>
    <col min="14856" max="14856" width="5.28515625" style="36" customWidth="1"/>
    <col min="14857" max="14857" width="10" style="36" customWidth="1"/>
    <col min="14858" max="14858" width="5.28515625" style="36" customWidth="1"/>
    <col min="14859" max="14859" width="11.42578125" style="36" customWidth="1"/>
    <col min="14860" max="14860" width="5.28515625" style="36" customWidth="1"/>
    <col min="14861" max="14861" width="10.28515625" style="36" customWidth="1"/>
    <col min="14862" max="14862" width="8.5703125" style="36" customWidth="1"/>
    <col min="14863" max="14864" width="0.42578125" style="36" customWidth="1"/>
    <col min="14865" max="14865" width="9.140625" style="36" customWidth="1"/>
    <col min="14866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5.28515625" style="36" customWidth="1"/>
    <col min="15109" max="15109" width="11.42578125" style="36" customWidth="1"/>
    <col min="15110" max="15110" width="5.28515625" style="36" customWidth="1"/>
    <col min="15111" max="15111" width="7.5703125" style="36" customWidth="1"/>
    <col min="15112" max="15112" width="5.28515625" style="36" customWidth="1"/>
    <col min="15113" max="15113" width="10" style="36" customWidth="1"/>
    <col min="15114" max="15114" width="5.28515625" style="36" customWidth="1"/>
    <col min="15115" max="15115" width="11.42578125" style="36" customWidth="1"/>
    <col min="15116" max="15116" width="5.28515625" style="36" customWidth="1"/>
    <col min="15117" max="15117" width="10.28515625" style="36" customWidth="1"/>
    <col min="15118" max="15118" width="8.5703125" style="36" customWidth="1"/>
    <col min="15119" max="15120" width="0.42578125" style="36" customWidth="1"/>
    <col min="15121" max="15121" width="9.140625" style="36" customWidth="1"/>
    <col min="15122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5.28515625" style="36" customWidth="1"/>
    <col min="15365" max="15365" width="11.42578125" style="36" customWidth="1"/>
    <col min="15366" max="15366" width="5.28515625" style="36" customWidth="1"/>
    <col min="15367" max="15367" width="7.5703125" style="36" customWidth="1"/>
    <col min="15368" max="15368" width="5.28515625" style="36" customWidth="1"/>
    <col min="15369" max="15369" width="10" style="36" customWidth="1"/>
    <col min="15370" max="15370" width="5.28515625" style="36" customWidth="1"/>
    <col min="15371" max="15371" width="11.42578125" style="36" customWidth="1"/>
    <col min="15372" max="15372" width="5.28515625" style="36" customWidth="1"/>
    <col min="15373" max="15373" width="10.28515625" style="36" customWidth="1"/>
    <col min="15374" max="15374" width="8.5703125" style="36" customWidth="1"/>
    <col min="15375" max="15376" width="0.42578125" style="36" customWidth="1"/>
    <col min="15377" max="15377" width="9.140625" style="36" customWidth="1"/>
    <col min="15378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5.28515625" style="36" customWidth="1"/>
    <col min="15621" max="15621" width="11.42578125" style="36" customWidth="1"/>
    <col min="15622" max="15622" width="5.28515625" style="36" customWidth="1"/>
    <col min="15623" max="15623" width="7.5703125" style="36" customWidth="1"/>
    <col min="15624" max="15624" width="5.28515625" style="36" customWidth="1"/>
    <col min="15625" max="15625" width="10" style="36" customWidth="1"/>
    <col min="15626" max="15626" width="5.28515625" style="36" customWidth="1"/>
    <col min="15627" max="15627" width="11.42578125" style="36" customWidth="1"/>
    <col min="15628" max="15628" width="5.28515625" style="36" customWidth="1"/>
    <col min="15629" max="15629" width="10.28515625" style="36" customWidth="1"/>
    <col min="15630" max="15630" width="8.5703125" style="36" customWidth="1"/>
    <col min="15631" max="15632" width="0.42578125" style="36" customWidth="1"/>
    <col min="15633" max="15633" width="9.140625" style="36" customWidth="1"/>
    <col min="15634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5.28515625" style="36" customWidth="1"/>
    <col min="15877" max="15877" width="11.42578125" style="36" customWidth="1"/>
    <col min="15878" max="15878" width="5.28515625" style="36" customWidth="1"/>
    <col min="15879" max="15879" width="7.5703125" style="36" customWidth="1"/>
    <col min="15880" max="15880" width="5.28515625" style="36" customWidth="1"/>
    <col min="15881" max="15881" width="10" style="36" customWidth="1"/>
    <col min="15882" max="15882" width="5.28515625" style="36" customWidth="1"/>
    <col min="15883" max="15883" width="11.42578125" style="36" customWidth="1"/>
    <col min="15884" max="15884" width="5.28515625" style="36" customWidth="1"/>
    <col min="15885" max="15885" width="10.28515625" style="36" customWidth="1"/>
    <col min="15886" max="15886" width="8.5703125" style="36" customWidth="1"/>
    <col min="15887" max="15888" width="0.42578125" style="36" customWidth="1"/>
    <col min="15889" max="15889" width="9.140625" style="36" customWidth="1"/>
    <col min="15890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5.28515625" style="36" customWidth="1"/>
    <col min="16133" max="16133" width="11.42578125" style="36" customWidth="1"/>
    <col min="16134" max="16134" width="5.28515625" style="36" customWidth="1"/>
    <col min="16135" max="16135" width="7.5703125" style="36" customWidth="1"/>
    <col min="16136" max="16136" width="5.28515625" style="36" customWidth="1"/>
    <col min="16137" max="16137" width="10" style="36" customWidth="1"/>
    <col min="16138" max="16138" width="5.28515625" style="36" customWidth="1"/>
    <col min="16139" max="16139" width="11.42578125" style="36" customWidth="1"/>
    <col min="16140" max="16140" width="5.28515625" style="36" customWidth="1"/>
    <col min="16141" max="16141" width="10.28515625" style="36" customWidth="1"/>
    <col min="16142" max="16142" width="8.5703125" style="36" customWidth="1"/>
    <col min="16143" max="16144" width="0.42578125" style="36" customWidth="1"/>
    <col min="16145" max="16145" width="9.140625" style="36" customWidth="1"/>
    <col min="16146" max="16384" width="13.28515625" style="36"/>
  </cols>
  <sheetData>
    <row r="1" spans="3:15" ht="2.1" customHeight="1" x14ac:dyDescent="0.2">
      <c r="O1" s="36" t="s">
        <v>46</v>
      </c>
    </row>
    <row r="2" spans="3:15" ht="19.899999999999999" customHeight="1" x14ac:dyDescent="0.2"/>
    <row r="3" spans="3:15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3:15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3:15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  <c r="L5" s="38"/>
      <c r="M5" s="38"/>
    </row>
    <row r="6" spans="3:15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3:15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3:15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59"/>
      <c r="L8" s="59"/>
      <c r="M8" s="39"/>
    </row>
    <row r="9" spans="3:15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3:15" ht="21.6" customHeight="1" x14ac:dyDescent="0.3">
      <c r="C10" s="40" t="s">
        <v>66</v>
      </c>
      <c r="D10" s="40"/>
      <c r="E10" s="40"/>
      <c r="F10" s="40"/>
      <c r="G10" s="40"/>
      <c r="H10" s="40"/>
      <c r="I10" s="40"/>
      <c r="J10" s="40"/>
      <c r="K10" s="40"/>
      <c r="L10" s="40"/>
      <c r="M10" s="41"/>
    </row>
    <row r="11" spans="3:15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3:15" ht="1.35" customHeight="1" x14ac:dyDescent="0.2"/>
    <row r="13" spans="3:15" ht="12.75" customHeight="1" x14ac:dyDescent="0.2"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3:15" ht="23.25" customHeight="1" x14ac:dyDescent="0.2">
      <c r="C14" s="61" t="s">
        <v>67</v>
      </c>
      <c r="D14" s="61"/>
      <c r="E14" s="61" t="s">
        <v>68</v>
      </c>
      <c r="F14" s="61"/>
      <c r="G14" s="61" t="s">
        <v>69</v>
      </c>
      <c r="H14" s="61"/>
      <c r="I14" s="61" t="s">
        <v>70</v>
      </c>
      <c r="J14" s="61"/>
      <c r="K14" s="61" t="s">
        <v>71</v>
      </c>
      <c r="L14" s="61"/>
      <c r="M14" s="61" t="s">
        <v>72</v>
      </c>
    </row>
    <row r="15" spans="3:15" ht="1.35" customHeight="1" x14ac:dyDescent="0.2"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</row>
    <row r="16" spans="3:15" ht="1.1499999999999999" customHeight="1" x14ac:dyDescent="0.2">
      <c r="C16" s="62"/>
      <c r="D16" s="63"/>
      <c r="E16" s="63"/>
      <c r="F16" s="63"/>
      <c r="G16" s="63"/>
      <c r="H16" s="63"/>
      <c r="I16" s="63"/>
      <c r="J16" s="63"/>
      <c r="K16" s="63"/>
      <c r="L16" s="63"/>
      <c r="M16" s="62"/>
    </row>
    <row r="17" spans="3:13" ht="10.9" customHeight="1" x14ac:dyDescent="0.2">
      <c r="C17" s="64">
        <v>40450</v>
      </c>
      <c r="D17" s="65"/>
      <c r="E17" s="66">
        <v>0</v>
      </c>
      <c r="F17" s="66"/>
      <c r="G17" s="67">
        <v>0</v>
      </c>
      <c r="H17" s="67"/>
      <c r="I17" s="66">
        <v>0</v>
      </c>
      <c r="J17" s="66"/>
      <c r="K17" s="66">
        <v>0</v>
      </c>
      <c r="L17" s="66"/>
      <c r="M17" s="68">
        <v>0</v>
      </c>
    </row>
    <row r="18" spans="3:13" ht="10.9" customHeight="1" x14ac:dyDescent="0.2">
      <c r="C18" s="64">
        <v>40756</v>
      </c>
      <c r="D18" s="65"/>
      <c r="E18" s="66">
        <v>0</v>
      </c>
      <c r="F18" s="66"/>
      <c r="G18" s="67">
        <v>0</v>
      </c>
      <c r="H18" s="67"/>
      <c r="I18" s="66">
        <v>22141.42</v>
      </c>
      <c r="J18" s="66"/>
      <c r="K18" s="66">
        <v>22141.42</v>
      </c>
      <c r="L18" s="66"/>
      <c r="M18" s="68">
        <v>0</v>
      </c>
    </row>
    <row r="19" spans="3:13" ht="10.9" customHeight="1" x14ac:dyDescent="0.2">
      <c r="C19" s="64">
        <v>40940</v>
      </c>
      <c r="D19" s="65"/>
      <c r="E19" s="66">
        <v>0</v>
      </c>
      <c r="F19" s="66"/>
      <c r="G19" s="67">
        <v>0</v>
      </c>
      <c r="H19" s="67"/>
      <c r="I19" s="66">
        <v>13196.88</v>
      </c>
      <c r="J19" s="66"/>
      <c r="K19" s="66">
        <v>13196.88</v>
      </c>
      <c r="L19" s="66"/>
      <c r="M19" s="68">
        <v>35338.300000000003</v>
      </c>
    </row>
    <row r="20" spans="3:13" ht="10.9" customHeight="1" x14ac:dyDescent="0.2">
      <c r="C20" s="64">
        <v>41122</v>
      </c>
      <c r="D20" s="65"/>
      <c r="E20" s="66">
        <v>0</v>
      </c>
      <c r="F20" s="66"/>
      <c r="G20" s="67">
        <v>0</v>
      </c>
      <c r="H20" s="67"/>
      <c r="I20" s="66">
        <v>13196.88</v>
      </c>
      <c r="J20" s="66"/>
      <c r="K20" s="66">
        <v>13196.88</v>
      </c>
      <c r="L20" s="66"/>
      <c r="M20" s="68">
        <v>0</v>
      </c>
    </row>
    <row r="21" spans="3:13" ht="10.9" customHeight="1" x14ac:dyDescent="0.2">
      <c r="C21" s="64">
        <v>41306</v>
      </c>
      <c r="D21" s="64"/>
      <c r="E21" s="68">
        <v>60000</v>
      </c>
      <c r="F21" s="68"/>
      <c r="G21" s="69">
        <v>0.875</v>
      </c>
      <c r="H21" s="69"/>
      <c r="I21" s="68">
        <v>13196.88</v>
      </c>
      <c r="J21" s="68"/>
      <c r="K21" s="68">
        <v>73196.88</v>
      </c>
      <c r="L21" s="68"/>
      <c r="M21" s="68">
        <v>86393.76</v>
      </c>
    </row>
    <row r="22" spans="3:13" ht="10.9" customHeight="1" x14ac:dyDescent="0.2">
      <c r="C22" s="64">
        <v>41487</v>
      </c>
      <c r="D22" s="65"/>
      <c r="E22" s="66">
        <v>0</v>
      </c>
      <c r="F22" s="66"/>
      <c r="G22" s="67">
        <v>0</v>
      </c>
      <c r="H22" s="67"/>
      <c r="I22" s="66">
        <v>12934.38</v>
      </c>
      <c r="J22" s="66"/>
      <c r="K22" s="66">
        <v>12934.38</v>
      </c>
      <c r="L22" s="66"/>
      <c r="M22" s="68">
        <v>0</v>
      </c>
    </row>
    <row r="23" spans="3:13" ht="10.9" customHeight="1" x14ac:dyDescent="0.2">
      <c r="C23" s="64">
        <v>41671</v>
      </c>
      <c r="D23" s="65"/>
      <c r="E23" s="66">
        <v>60000</v>
      </c>
      <c r="F23" s="66"/>
      <c r="G23" s="67">
        <v>0.875</v>
      </c>
      <c r="H23" s="67"/>
      <c r="I23" s="66">
        <v>12934.38</v>
      </c>
      <c r="J23" s="66"/>
      <c r="K23" s="66">
        <v>72934.38</v>
      </c>
      <c r="L23" s="66"/>
      <c r="M23" s="68">
        <v>85868.76</v>
      </c>
    </row>
    <row r="24" spans="3:13" ht="10.9" customHeight="1" x14ac:dyDescent="0.2">
      <c r="C24" s="64">
        <v>41852</v>
      </c>
      <c r="D24" s="65"/>
      <c r="E24" s="66">
        <v>0</v>
      </c>
      <c r="F24" s="66"/>
      <c r="G24" s="67">
        <v>0</v>
      </c>
      <c r="H24" s="67"/>
      <c r="I24" s="66">
        <v>12671.88</v>
      </c>
      <c r="J24" s="66"/>
      <c r="K24" s="66">
        <v>12671.88</v>
      </c>
      <c r="L24" s="66"/>
      <c r="M24" s="68">
        <v>0</v>
      </c>
    </row>
    <row r="25" spans="3:13" ht="10.9" customHeight="1" x14ac:dyDescent="0.2">
      <c r="C25" s="64">
        <v>42036</v>
      </c>
      <c r="D25" s="65"/>
      <c r="E25" s="66">
        <v>60000</v>
      </c>
      <c r="F25" s="66"/>
      <c r="G25" s="67">
        <v>1.375</v>
      </c>
      <c r="H25" s="67"/>
      <c r="I25" s="66">
        <v>12671.88</v>
      </c>
      <c r="J25" s="66"/>
      <c r="K25" s="66">
        <v>72671.88</v>
      </c>
      <c r="L25" s="66"/>
      <c r="M25" s="68">
        <v>85343.76</v>
      </c>
    </row>
    <row r="26" spans="3:13" ht="10.9" customHeight="1" x14ac:dyDescent="0.2">
      <c r="C26" s="64">
        <v>42217</v>
      </c>
      <c r="D26" s="64"/>
      <c r="E26" s="68">
        <v>0</v>
      </c>
      <c r="F26" s="68"/>
      <c r="G26" s="69">
        <v>0</v>
      </c>
      <c r="H26" s="69"/>
      <c r="I26" s="68">
        <v>12259.38</v>
      </c>
      <c r="J26" s="68"/>
      <c r="K26" s="68">
        <v>12259.38</v>
      </c>
      <c r="L26" s="68"/>
      <c r="M26" s="68">
        <v>0</v>
      </c>
    </row>
    <row r="27" spans="3:13" ht="10.9" customHeight="1" x14ac:dyDescent="0.2">
      <c r="C27" s="64">
        <v>42401</v>
      </c>
      <c r="D27" s="65"/>
      <c r="E27" s="66">
        <v>60000</v>
      </c>
      <c r="F27" s="66"/>
      <c r="G27" s="67">
        <v>1.375</v>
      </c>
      <c r="H27" s="67"/>
      <c r="I27" s="66">
        <v>12259.38</v>
      </c>
      <c r="J27" s="66"/>
      <c r="K27" s="66">
        <v>72259.38</v>
      </c>
      <c r="L27" s="66"/>
      <c r="M27" s="68">
        <v>84518.76</v>
      </c>
    </row>
    <row r="28" spans="3:13" ht="10.9" customHeight="1" x14ac:dyDescent="0.2">
      <c r="C28" s="64">
        <v>42583</v>
      </c>
      <c r="D28" s="65"/>
      <c r="E28" s="66">
        <v>0</v>
      </c>
      <c r="F28" s="66"/>
      <c r="G28" s="67">
        <v>0</v>
      </c>
      <c r="H28" s="67"/>
      <c r="I28" s="66">
        <v>11846.88</v>
      </c>
      <c r="J28" s="66"/>
      <c r="K28" s="66">
        <v>11846.88</v>
      </c>
      <c r="L28" s="66"/>
      <c r="M28" s="68">
        <v>0</v>
      </c>
    </row>
    <row r="29" spans="3:13" ht="10.9" customHeight="1" x14ac:dyDescent="0.2">
      <c r="C29" s="64">
        <v>42767</v>
      </c>
      <c r="D29" s="65"/>
      <c r="E29" s="66">
        <v>60000</v>
      </c>
      <c r="F29" s="66"/>
      <c r="G29" s="67">
        <v>1.875</v>
      </c>
      <c r="H29" s="67"/>
      <c r="I29" s="66">
        <v>11846.88</v>
      </c>
      <c r="J29" s="66"/>
      <c r="K29" s="66">
        <v>71846.880000000005</v>
      </c>
      <c r="L29" s="66"/>
      <c r="M29" s="68">
        <v>83693.759999999995</v>
      </c>
    </row>
    <row r="30" spans="3:13" ht="10.9" customHeight="1" x14ac:dyDescent="0.2">
      <c r="C30" s="64">
        <v>42948</v>
      </c>
      <c r="D30" s="65"/>
      <c r="E30" s="66">
        <v>0</v>
      </c>
      <c r="F30" s="66"/>
      <c r="G30" s="67">
        <v>0</v>
      </c>
      <c r="H30" s="67"/>
      <c r="I30" s="66">
        <v>11284.38</v>
      </c>
      <c r="J30" s="66"/>
      <c r="K30" s="66">
        <v>11284.38</v>
      </c>
      <c r="L30" s="66"/>
      <c r="M30" s="68">
        <v>0</v>
      </c>
    </row>
    <row r="31" spans="3:13" ht="10.9" customHeight="1" x14ac:dyDescent="0.2">
      <c r="C31" s="64">
        <v>43132</v>
      </c>
      <c r="D31" s="64"/>
      <c r="E31" s="68">
        <v>60000</v>
      </c>
      <c r="F31" s="68"/>
      <c r="G31" s="69">
        <v>1.875</v>
      </c>
      <c r="H31" s="69"/>
      <c r="I31" s="68">
        <v>11284.38</v>
      </c>
      <c r="J31" s="68"/>
      <c r="K31" s="68">
        <v>71284.38</v>
      </c>
      <c r="L31" s="68"/>
      <c r="M31" s="68">
        <v>82568.759999999995</v>
      </c>
    </row>
    <row r="32" spans="3:13" ht="10.9" customHeight="1" x14ac:dyDescent="0.2">
      <c r="C32" s="64">
        <v>43313</v>
      </c>
      <c r="D32" s="65"/>
      <c r="E32" s="66">
        <v>0</v>
      </c>
      <c r="F32" s="66"/>
      <c r="G32" s="67">
        <v>0</v>
      </c>
      <c r="H32" s="67"/>
      <c r="I32" s="66">
        <v>10721.88</v>
      </c>
      <c r="J32" s="66"/>
      <c r="K32" s="66">
        <v>10721.88</v>
      </c>
      <c r="L32" s="66"/>
      <c r="M32" s="68">
        <v>0</v>
      </c>
    </row>
    <row r="33" spans="3:13" ht="10.9" customHeight="1" x14ac:dyDescent="0.2">
      <c r="C33" s="64">
        <v>43497</v>
      </c>
      <c r="D33" s="65"/>
      <c r="E33" s="66">
        <v>60000</v>
      </c>
      <c r="F33" s="66"/>
      <c r="G33" s="67">
        <v>2.375</v>
      </c>
      <c r="H33" s="67"/>
      <c r="I33" s="66">
        <v>10721.88</v>
      </c>
      <c r="J33" s="66"/>
      <c r="K33" s="66">
        <v>70721.88</v>
      </c>
      <c r="L33" s="66"/>
      <c r="M33" s="68">
        <v>81443.759999999995</v>
      </c>
    </row>
    <row r="34" spans="3:13" ht="10.9" customHeight="1" x14ac:dyDescent="0.2">
      <c r="C34" s="64">
        <v>43678</v>
      </c>
      <c r="D34" s="65"/>
      <c r="E34" s="66">
        <v>0</v>
      </c>
      <c r="F34" s="66"/>
      <c r="G34" s="67">
        <v>0</v>
      </c>
      <c r="H34" s="67"/>
      <c r="I34" s="66">
        <v>10009.379999999999</v>
      </c>
      <c r="J34" s="66"/>
      <c r="K34" s="66">
        <v>10009.379999999999</v>
      </c>
      <c r="L34" s="66"/>
      <c r="M34" s="68">
        <v>0</v>
      </c>
    </row>
    <row r="35" spans="3:13" ht="10.9" customHeight="1" x14ac:dyDescent="0.2">
      <c r="C35" s="64">
        <v>43862</v>
      </c>
      <c r="D35" s="65"/>
      <c r="E35" s="66">
        <v>60000</v>
      </c>
      <c r="F35" s="66"/>
      <c r="G35" s="67">
        <v>2.375</v>
      </c>
      <c r="H35" s="67"/>
      <c r="I35" s="66">
        <v>10009.379999999999</v>
      </c>
      <c r="J35" s="66"/>
      <c r="K35" s="66">
        <v>70009.38</v>
      </c>
      <c r="L35" s="66"/>
      <c r="M35" s="68">
        <v>80018.759999999995</v>
      </c>
    </row>
    <row r="36" spans="3:13" ht="10.9" customHeight="1" x14ac:dyDescent="0.2">
      <c r="C36" s="64">
        <v>44044</v>
      </c>
      <c r="D36" s="64"/>
      <c r="E36" s="68">
        <v>0</v>
      </c>
      <c r="F36" s="68"/>
      <c r="G36" s="69">
        <v>0</v>
      </c>
      <c r="H36" s="69"/>
      <c r="I36" s="68">
        <v>9296.8799999999992</v>
      </c>
      <c r="J36" s="68"/>
      <c r="K36" s="68">
        <v>9296.8799999999992</v>
      </c>
      <c r="L36" s="68"/>
      <c r="M36" s="68">
        <v>0</v>
      </c>
    </row>
    <row r="37" spans="3:13" ht="10.9" customHeight="1" x14ac:dyDescent="0.2">
      <c r="C37" s="64">
        <v>44228</v>
      </c>
      <c r="D37" s="65"/>
      <c r="E37" s="66">
        <v>60000</v>
      </c>
      <c r="F37" s="66"/>
      <c r="G37" s="67">
        <v>2.625</v>
      </c>
      <c r="H37" s="67"/>
      <c r="I37" s="66">
        <v>9296.8799999999992</v>
      </c>
      <c r="J37" s="66"/>
      <c r="K37" s="66">
        <v>69296.88</v>
      </c>
      <c r="L37" s="66"/>
      <c r="M37" s="68">
        <v>78593.759999999995</v>
      </c>
    </row>
    <row r="38" spans="3:13" ht="10.9" customHeight="1" x14ac:dyDescent="0.2">
      <c r="C38" s="64">
        <v>44409</v>
      </c>
      <c r="D38" s="65"/>
      <c r="E38" s="66">
        <v>0</v>
      </c>
      <c r="F38" s="66"/>
      <c r="G38" s="67">
        <v>0</v>
      </c>
      <c r="H38" s="67"/>
      <c r="I38" s="66">
        <v>8509.3799999999992</v>
      </c>
      <c r="J38" s="66"/>
      <c r="K38" s="66">
        <v>8509.3799999999992</v>
      </c>
      <c r="L38" s="66"/>
      <c r="M38" s="68">
        <v>0</v>
      </c>
    </row>
    <row r="39" spans="3:13" ht="10.9" customHeight="1" x14ac:dyDescent="0.2">
      <c r="C39" s="64">
        <v>44593</v>
      </c>
      <c r="D39" s="65"/>
      <c r="E39" s="66">
        <v>55000</v>
      </c>
      <c r="F39" s="66"/>
      <c r="G39" s="67">
        <v>2.625</v>
      </c>
      <c r="H39" s="67"/>
      <c r="I39" s="66">
        <v>8509.3799999999992</v>
      </c>
      <c r="J39" s="66"/>
      <c r="K39" s="66">
        <v>63509.38</v>
      </c>
      <c r="L39" s="66"/>
      <c r="M39" s="68">
        <v>72018.759999999995</v>
      </c>
    </row>
    <row r="40" spans="3:13" ht="10.9" customHeight="1" x14ac:dyDescent="0.2">
      <c r="C40" s="64">
        <v>44774</v>
      </c>
      <c r="D40" s="65"/>
      <c r="E40" s="66">
        <v>0</v>
      </c>
      <c r="F40" s="66"/>
      <c r="G40" s="67">
        <v>0</v>
      </c>
      <c r="H40" s="67"/>
      <c r="I40" s="66">
        <v>7787.5</v>
      </c>
      <c r="J40" s="66"/>
      <c r="K40" s="66">
        <v>7787.5</v>
      </c>
      <c r="L40" s="66"/>
      <c r="M40" s="68">
        <v>0</v>
      </c>
    </row>
    <row r="41" spans="3:13" ht="10.9" customHeight="1" x14ac:dyDescent="0.2">
      <c r="C41" s="64">
        <v>44958</v>
      </c>
      <c r="D41" s="64"/>
      <c r="E41" s="68">
        <v>55000</v>
      </c>
      <c r="F41" s="68"/>
      <c r="G41" s="69">
        <v>3</v>
      </c>
      <c r="H41" s="69"/>
      <c r="I41" s="68">
        <v>7787.5</v>
      </c>
      <c r="J41" s="68"/>
      <c r="K41" s="68">
        <v>62787.5</v>
      </c>
      <c r="L41" s="68"/>
      <c r="M41" s="68">
        <v>70575</v>
      </c>
    </row>
    <row r="42" spans="3:13" ht="10.9" customHeight="1" x14ac:dyDescent="0.2">
      <c r="C42" s="64">
        <v>45139</v>
      </c>
      <c r="D42" s="65"/>
      <c r="E42" s="66">
        <v>0</v>
      </c>
      <c r="F42" s="66"/>
      <c r="G42" s="67">
        <v>0</v>
      </c>
      <c r="H42" s="67"/>
      <c r="I42" s="66">
        <v>6962.5</v>
      </c>
      <c r="J42" s="66"/>
      <c r="K42" s="66">
        <v>6962.5</v>
      </c>
      <c r="L42" s="66"/>
      <c r="M42" s="68">
        <v>0</v>
      </c>
    </row>
    <row r="43" spans="3:13" ht="10.9" customHeight="1" x14ac:dyDescent="0.2">
      <c r="C43" s="64">
        <v>45323</v>
      </c>
      <c r="D43" s="65"/>
      <c r="E43" s="66">
        <v>55000</v>
      </c>
      <c r="F43" s="66"/>
      <c r="G43" s="67">
        <v>3</v>
      </c>
      <c r="H43" s="67"/>
      <c r="I43" s="66">
        <v>6962.5</v>
      </c>
      <c r="J43" s="66"/>
      <c r="K43" s="66">
        <v>61962.5</v>
      </c>
      <c r="L43" s="66"/>
      <c r="M43" s="68">
        <v>68925</v>
      </c>
    </row>
    <row r="44" spans="3:13" ht="10.9" customHeight="1" x14ac:dyDescent="0.2">
      <c r="C44" s="64">
        <v>45505</v>
      </c>
      <c r="D44" s="65"/>
      <c r="E44" s="66">
        <v>0</v>
      </c>
      <c r="F44" s="66"/>
      <c r="G44" s="67">
        <v>0</v>
      </c>
      <c r="H44" s="67"/>
      <c r="I44" s="66">
        <v>6137.5</v>
      </c>
      <c r="J44" s="66"/>
      <c r="K44" s="66">
        <v>6137.5</v>
      </c>
      <c r="L44" s="66"/>
      <c r="M44" s="68">
        <v>0</v>
      </c>
    </row>
    <row r="45" spans="3:13" ht="10.9" customHeight="1" x14ac:dyDescent="0.2">
      <c r="C45" s="64">
        <v>45689</v>
      </c>
      <c r="D45" s="65"/>
      <c r="E45" s="66">
        <v>55000</v>
      </c>
      <c r="F45" s="66"/>
      <c r="G45" s="67">
        <v>3.25</v>
      </c>
      <c r="H45" s="67"/>
      <c r="I45" s="66">
        <v>6137.5</v>
      </c>
      <c r="J45" s="66"/>
      <c r="K45" s="66">
        <v>61137.5</v>
      </c>
      <c r="L45" s="66"/>
      <c r="M45" s="68">
        <v>67275</v>
      </c>
    </row>
    <row r="46" spans="3:13" ht="10.9" customHeight="1" x14ac:dyDescent="0.2">
      <c r="C46" s="64">
        <v>45870</v>
      </c>
      <c r="D46" s="64"/>
      <c r="E46" s="68">
        <v>0</v>
      </c>
      <c r="F46" s="68"/>
      <c r="G46" s="69">
        <v>0</v>
      </c>
      <c r="H46" s="69"/>
      <c r="I46" s="68">
        <v>5243.75</v>
      </c>
      <c r="J46" s="68"/>
      <c r="K46" s="68">
        <v>5243.75</v>
      </c>
      <c r="L46" s="68"/>
      <c r="M46" s="68">
        <v>0</v>
      </c>
    </row>
    <row r="47" spans="3:13" ht="10.9" customHeight="1" x14ac:dyDescent="0.2">
      <c r="C47" s="64">
        <v>46054</v>
      </c>
      <c r="D47" s="65"/>
      <c r="E47" s="66">
        <v>55000</v>
      </c>
      <c r="F47" s="66"/>
      <c r="G47" s="67">
        <v>3.25</v>
      </c>
      <c r="H47" s="67"/>
      <c r="I47" s="66">
        <v>5243.75</v>
      </c>
      <c r="J47" s="66"/>
      <c r="K47" s="66">
        <v>60243.75</v>
      </c>
      <c r="L47" s="66"/>
      <c r="M47" s="68">
        <v>65487.5</v>
      </c>
    </row>
    <row r="48" spans="3:13" ht="10.9" customHeight="1" x14ac:dyDescent="0.2">
      <c r="C48" s="64">
        <v>46235</v>
      </c>
      <c r="D48" s="65"/>
      <c r="E48" s="66">
        <v>0</v>
      </c>
      <c r="F48" s="66"/>
      <c r="G48" s="67">
        <v>0</v>
      </c>
      <c r="H48" s="67"/>
      <c r="I48" s="66">
        <v>4350</v>
      </c>
      <c r="J48" s="66"/>
      <c r="K48" s="66">
        <v>4350</v>
      </c>
      <c r="L48" s="66"/>
      <c r="M48" s="68">
        <v>0</v>
      </c>
    </row>
    <row r="49" spans="3:13" ht="10.9" customHeight="1" x14ac:dyDescent="0.2">
      <c r="C49" s="64">
        <v>46419</v>
      </c>
      <c r="D49" s="65"/>
      <c r="E49" s="66">
        <v>60000</v>
      </c>
      <c r="F49" s="66"/>
      <c r="G49" s="67">
        <v>3.5</v>
      </c>
      <c r="H49" s="67"/>
      <c r="I49" s="66">
        <v>4350</v>
      </c>
      <c r="J49" s="66"/>
      <c r="K49" s="66">
        <v>64350</v>
      </c>
      <c r="L49" s="66"/>
      <c r="M49" s="68">
        <v>68700</v>
      </c>
    </row>
    <row r="50" spans="3:13" ht="10.9" customHeight="1" x14ac:dyDescent="0.2">
      <c r="C50" s="64">
        <v>46600</v>
      </c>
      <c r="D50" s="65"/>
      <c r="E50" s="66">
        <v>0</v>
      </c>
      <c r="F50" s="66"/>
      <c r="G50" s="67">
        <v>0</v>
      </c>
      <c r="H50" s="67"/>
      <c r="I50" s="66">
        <v>3300</v>
      </c>
      <c r="J50" s="66"/>
      <c r="K50" s="66">
        <v>3300</v>
      </c>
      <c r="L50" s="66"/>
      <c r="M50" s="68">
        <v>0</v>
      </c>
    </row>
    <row r="51" spans="3:13" ht="10.9" customHeight="1" x14ac:dyDescent="0.2">
      <c r="C51" s="64">
        <v>46784</v>
      </c>
      <c r="D51" s="64"/>
      <c r="E51" s="68">
        <v>60000</v>
      </c>
      <c r="F51" s="68"/>
      <c r="G51" s="69">
        <v>3.5</v>
      </c>
      <c r="H51" s="69"/>
      <c r="I51" s="68">
        <v>3300</v>
      </c>
      <c r="J51" s="68"/>
      <c r="K51" s="68">
        <v>63300</v>
      </c>
      <c r="L51" s="68"/>
      <c r="M51" s="68">
        <v>66600</v>
      </c>
    </row>
    <row r="52" spans="3:13" ht="10.9" customHeight="1" x14ac:dyDescent="0.2">
      <c r="C52" s="64">
        <v>46966</v>
      </c>
      <c r="D52" s="65"/>
      <c r="E52" s="66">
        <v>0</v>
      </c>
      <c r="F52" s="66"/>
      <c r="G52" s="67">
        <v>0</v>
      </c>
      <c r="H52" s="67"/>
      <c r="I52" s="66">
        <v>2250</v>
      </c>
      <c r="J52" s="66"/>
      <c r="K52" s="66">
        <v>2250</v>
      </c>
      <c r="L52" s="66"/>
      <c r="M52" s="68">
        <v>0</v>
      </c>
    </row>
    <row r="53" spans="3:13" ht="10.9" customHeight="1" x14ac:dyDescent="0.2">
      <c r="C53" s="64">
        <v>47150</v>
      </c>
      <c r="D53" s="65"/>
      <c r="E53" s="66">
        <v>60000</v>
      </c>
      <c r="F53" s="66"/>
      <c r="G53" s="67">
        <v>3.75</v>
      </c>
      <c r="H53" s="67"/>
      <c r="I53" s="66">
        <v>2250</v>
      </c>
      <c r="J53" s="66"/>
      <c r="K53" s="66">
        <v>62250</v>
      </c>
      <c r="L53" s="66"/>
      <c r="M53" s="68">
        <v>64500</v>
      </c>
    </row>
    <row r="54" spans="3:13" ht="10.9" customHeight="1" x14ac:dyDescent="0.2">
      <c r="C54" s="64">
        <v>47331</v>
      </c>
      <c r="D54" s="65"/>
      <c r="E54" s="66">
        <v>0</v>
      </c>
      <c r="F54" s="66"/>
      <c r="G54" s="67">
        <v>0</v>
      </c>
      <c r="H54" s="67"/>
      <c r="I54" s="66">
        <v>1125</v>
      </c>
      <c r="J54" s="66"/>
      <c r="K54" s="66">
        <v>1125</v>
      </c>
      <c r="L54" s="66"/>
      <c r="M54" s="68">
        <v>0</v>
      </c>
    </row>
    <row r="55" spans="3:13" ht="10.9" customHeight="1" x14ac:dyDescent="0.2">
      <c r="C55" s="64">
        <v>47515</v>
      </c>
      <c r="D55" s="65"/>
      <c r="E55" s="66">
        <v>60000</v>
      </c>
      <c r="F55" s="66"/>
      <c r="G55" s="67">
        <v>3.75</v>
      </c>
      <c r="H55" s="67"/>
      <c r="I55" s="66">
        <v>1125</v>
      </c>
      <c r="J55" s="66"/>
      <c r="K55" s="66">
        <v>61125</v>
      </c>
      <c r="L55" s="66"/>
      <c r="M55" s="68">
        <v>62250</v>
      </c>
    </row>
    <row r="56" spans="3:13" ht="1.35" customHeight="1" x14ac:dyDescent="0.2">
      <c r="C56" s="62"/>
      <c r="D56" s="63"/>
      <c r="E56" s="63"/>
      <c r="F56" s="63"/>
      <c r="G56" s="63"/>
      <c r="H56" s="63"/>
      <c r="I56" s="63"/>
      <c r="J56" s="63"/>
      <c r="K56" s="63"/>
      <c r="L56" s="63"/>
      <c r="M56" s="62"/>
    </row>
    <row r="57" spans="3:13" ht="1.35" customHeight="1" x14ac:dyDescent="0.2"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</row>
    <row r="58" spans="3:13" ht="12.75" customHeight="1" x14ac:dyDescent="0.2">
      <c r="C58" s="70">
        <v>0</v>
      </c>
      <c r="D58" s="70"/>
      <c r="E58" s="71">
        <v>1055000</v>
      </c>
      <c r="F58" s="71"/>
      <c r="G58" s="72">
        <v>0</v>
      </c>
      <c r="H58" s="72"/>
      <c r="I58" s="71">
        <v>335113.40000000002</v>
      </c>
      <c r="J58" s="71"/>
      <c r="K58" s="71">
        <v>1390113.4</v>
      </c>
      <c r="L58" s="71"/>
      <c r="M58" s="71">
        <v>0</v>
      </c>
    </row>
    <row r="59" spans="3:13" ht="1.35" customHeight="1" x14ac:dyDescent="0.2"/>
    <row r="60" spans="3:13" ht="10.9" customHeight="1" x14ac:dyDescent="0.2"/>
    <row r="61" spans="3:13" ht="10.9" customHeight="1" x14ac:dyDescent="0.2">
      <c r="C61" s="44" t="s">
        <v>73</v>
      </c>
      <c r="D61" s="44"/>
      <c r="E61" s="73"/>
      <c r="F61" s="73"/>
      <c r="G61" s="73"/>
      <c r="H61" s="73"/>
      <c r="I61" s="73"/>
      <c r="J61" s="73"/>
      <c r="K61" s="73"/>
      <c r="L61" s="73"/>
      <c r="M61" s="45" t="s">
        <v>49</v>
      </c>
    </row>
    <row r="62" spans="3:13" ht="10.9" customHeight="1" x14ac:dyDescent="0.2">
      <c r="C62" s="74" t="s">
        <v>46</v>
      </c>
      <c r="D62" s="74"/>
      <c r="M62" s="75" t="s">
        <v>49</v>
      </c>
    </row>
    <row r="63" spans="3:13" ht="10.9" customHeight="1" x14ac:dyDescent="0.2">
      <c r="C63" s="46" t="s">
        <v>74</v>
      </c>
      <c r="D63" s="46"/>
      <c r="E63" s="62"/>
      <c r="F63" s="62"/>
      <c r="G63" s="62"/>
      <c r="H63" s="62"/>
      <c r="I63" s="62"/>
      <c r="J63" s="62"/>
      <c r="K63" s="62"/>
      <c r="L63" s="62"/>
      <c r="M63" s="47">
        <v>11372.527777777799</v>
      </c>
    </row>
    <row r="64" spans="3:13" ht="10.9" customHeight="1" x14ac:dyDescent="0.2">
      <c r="C64" s="46" t="s">
        <v>75</v>
      </c>
      <c r="D64" s="46"/>
      <c r="E64" s="62"/>
      <c r="F64" s="62"/>
      <c r="G64" s="62"/>
      <c r="H64" s="62"/>
      <c r="I64" s="62"/>
      <c r="J64" s="62"/>
      <c r="K64" s="62"/>
      <c r="L64" s="62"/>
      <c r="M64" s="76">
        <v>10.7796471827278</v>
      </c>
    </row>
    <row r="65" spans="3:13" ht="10.9" customHeight="1" x14ac:dyDescent="0.2">
      <c r="C65" s="46" t="s">
        <v>76</v>
      </c>
      <c r="D65" s="46"/>
      <c r="E65" s="62"/>
      <c r="F65" s="62"/>
      <c r="G65" s="62"/>
      <c r="H65" s="62"/>
      <c r="I65" s="62"/>
      <c r="J65" s="62"/>
      <c r="K65" s="62"/>
      <c r="L65" s="62"/>
      <c r="M65" s="77">
        <v>2.9466922969827398</v>
      </c>
    </row>
    <row r="66" spans="3:13" ht="10.9" customHeight="1" x14ac:dyDescent="0.2">
      <c r="C66" s="49" t="s">
        <v>46</v>
      </c>
      <c r="D66" s="74"/>
      <c r="M66" s="50" t="s">
        <v>49</v>
      </c>
    </row>
    <row r="67" spans="3:13" ht="10.9" customHeight="1" x14ac:dyDescent="0.2">
      <c r="C67" s="46" t="s">
        <v>77</v>
      </c>
      <c r="D67" s="46"/>
      <c r="E67" s="62"/>
      <c r="F67" s="62"/>
      <c r="G67" s="62"/>
      <c r="H67" s="62"/>
      <c r="I67" s="62"/>
      <c r="J67" s="62"/>
      <c r="K67" s="62"/>
      <c r="L67" s="62"/>
      <c r="M67" s="77">
        <v>3.0348213409019298</v>
      </c>
    </row>
    <row r="68" spans="3:13" ht="10.9" customHeight="1" x14ac:dyDescent="0.2">
      <c r="C68" s="46" t="s">
        <v>78</v>
      </c>
      <c r="D68" s="46"/>
      <c r="E68" s="62"/>
      <c r="F68" s="62"/>
      <c r="G68" s="62"/>
      <c r="H68" s="62"/>
      <c r="I68" s="62"/>
      <c r="J68" s="62"/>
      <c r="K68" s="62"/>
      <c r="L68" s="62"/>
      <c r="M68" s="77">
        <v>3.0034442166117699</v>
      </c>
    </row>
    <row r="69" spans="3:13" ht="10.9" customHeight="1" x14ac:dyDescent="0.2">
      <c r="C69" s="46" t="s">
        <v>79</v>
      </c>
      <c r="D69" s="46"/>
      <c r="E69" s="62"/>
      <c r="F69" s="62"/>
      <c r="G69" s="62"/>
      <c r="H69" s="62"/>
      <c r="I69" s="62"/>
      <c r="J69" s="62"/>
      <c r="K69" s="62"/>
      <c r="L69" s="62"/>
      <c r="M69" s="77">
        <v>2.8978799801691801</v>
      </c>
    </row>
    <row r="70" spans="3:13" ht="10.9" customHeight="1" x14ac:dyDescent="0.2">
      <c r="C70" s="46" t="s">
        <v>80</v>
      </c>
      <c r="D70" s="46"/>
      <c r="E70" s="62"/>
      <c r="F70" s="62"/>
      <c r="G70" s="62"/>
      <c r="H70" s="62"/>
      <c r="I70" s="62"/>
      <c r="J70" s="62"/>
      <c r="K70" s="62"/>
      <c r="L70" s="62"/>
      <c r="M70" s="77">
        <v>3.2921269993101601</v>
      </c>
    </row>
    <row r="71" spans="3:13" ht="10.9" customHeight="1" x14ac:dyDescent="0.2">
      <c r="C71" s="49" t="s">
        <v>46</v>
      </c>
      <c r="D71" s="74"/>
      <c r="M71" s="50" t="s">
        <v>49</v>
      </c>
    </row>
    <row r="72" spans="3:13" ht="10.9" customHeight="1" x14ac:dyDescent="0.2">
      <c r="C72" s="44" t="s">
        <v>81</v>
      </c>
      <c r="D72" s="44"/>
      <c r="E72" s="73"/>
      <c r="F72" s="73"/>
      <c r="G72" s="73"/>
      <c r="H72" s="73"/>
      <c r="I72" s="73"/>
      <c r="J72" s="73"/>
      <c r="K72" s="73"/>
      <c r="L72" s="73"/>
      <c r="M72" s="53" t="s">
        <v>49</v>
      </c>
    </row>
    <row r="73" spans="3:13" ht="10.9" customHeight="1" x14ac:dyDescent="0.2">
      <c r="C73" s="46" t="s">
        <v>82</v>
      </c>
      <c r="D73" s="46"/>
      <c r="E73" s="62"/>
      <c r="F73" s="62"/>
      <c r="G73" s="62"/>
      <c r="H73" s="62"/>
      <c r="I73" s="62"/>
      <c r="J73" s="62"/>
      <c r="K73" s="62"/>
      <c r="L73" s="62"/>
      <c r="M73" s="77">
        <v>2.9466922969827398</v>
      </c>
    </row>
    <row r="74" spans="3:13" ht="10.9" customHeight="1" x14ac:dyDescent="0.2">
      <c r="C74" s="46" t="s">
        <v>83</v>
      </c>
      <c r="D74" s="46"/>
      <c r="E74" s="62"/>
      <c r="F74" s="62"/>
      <c r="G74" s="62"/>
      <c r="H74" s="62"/>
      <c r="I74" s="62"/>
      <c r="J74" s="62"/>
      <c r="K74" s="62"/>
      <c r="L74" s="62"/>
      <c r="M74" s="76">
        <v>10.7796471827278</v>
      </c>
    </row>
    <row r="75" spans="3:13" ht="0.95" customHeight="1" x14ac:dyDescent="0.2"/>
    <row r="76" spans="3:13" ht="0.95" customHeight="1" x14ac:dyDescent="0.2"/>
    <row r="77" spans="3:13" ht="12.75" customHeight="1" x14ac:dyDescent="0.2">
      <c r="C77" s="54" t="s">
        <v>63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</row>
    <row r="78" spans="3:13" ht="12.75" customHeight="1" x14ac:dyDescent="0.3"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</row>
    <row r="79" spans="3:13" ht="18.75" customHeight="1" x14ac:dyDescent="0.3">
      <c r="C79" s="56" t="s">
        <v>0</v>
      </c>
      <c r="D79" s="56"/>
      <c r="E79" s="56"/>
      <c r="F79" s="56"/>
      <c r="G79" s="56"/>
      <c r="H79" s="56"/>
      <c r="I79" s="56"/>
      <c r="J79" s="56"/>
      <c r="K79" s="56"/>
      <c r="L79" s="56"/>
      <c r="M79" s="56"/>
    </row>
    <row r="80" spans="3:13" ht="12.75" customHeight="1" x14ac:dyDescent="0.2">
      <c r="C80" s="57" t="s">
        <v>64</v>
      </c>
      <c r="D80" s="57"/>
      <c r="E80" s="57"/>
      <c r="F80" s="57"/>
      <c r="G80" s="57"/>
      <c r="H80" s="57"/>
      <c r="I80" s="57"/>
      <c r="J80" s="57"/>
      <c r="K80" s="57"/>
      <c r="L80" s="57"/>
      <c r="M80" s="58" t="s">
        <v>84</v>
      </c>
    </row>
    <row r="82" spans="1:1" ht="2.1" customHeight="1" x14ac:dyDescent="0.2">
      <c r="A82" s="36" t="s">
        <v>46</v>
      </c>
    </row>
  </sheetData>
  <printOptions horizontalCentered="1"/>
  <pageMargins left="0.28352577032760656" right="0.28352577032760656" top="0.28352577032760656" bottom="0.28352577032760656" header="0.5" footer="0.5"/>
  <pageSetup scale="88" orientation="portrait" horizontalDpi="0" verticalDpi="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Q67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2.85546875" style="36" customWidth="1"/>
    <col min="5" max="5" width="11.42578125" style="36" customWidth="1"/>
    <col min="6" max="6" width="2.85546875" style="36" customWidth="1"/>
    <col min="7" max="7" width="7.5703125" style="36" customWidth="1"/>
    <col min="8" max="8" width="2.85546875" style="36" customWidth="1"/>
    <col min="9" max="9" width="10" style="36" customWidth="1"/>
    <col min="10" max="10" width="2.85546875" style="36" customWidth="1"/>
    <col min="11" max="11" width="11.42578125" style="36" customWidth="1"/>
    <col min="12" max="12" width="2.85546875" style="36" customWidth="1"/>
    <col min="13" max="13" width="11.42578125" style="36" customWidth="1"/>
    <col min="14" max="14" width="2.85546875" style="36" customWidth="1"/>
    <col min="15" max="15" width="8.28515625" style="36" customWidth="1"/>
    <col min="16" max="16" width="8.5703125" style="36" customWidth="1"/>
    <col min="17" max="18" width="0.42578125" style="36" customWidth="1"/>
    <col min="19" max="19" width="9.140625" style="36" customWidth="1"/>
    <col min="20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2.85546875" style="36" customWidth="1"/>
    <col min="261" max="261" width="11.42578125" style="36" customWidth="1"/>
    <col min="262" max="262" width="2.85546875" style="36" customWidth="1"/>
    <col min="263" max="263" width="7.5703125" style="36" customWidth="1"/>
    <col min="264" max="264" width="2.85546875" style="36" customWidth="1"/>
    <col min="265" max="265" width="10" style="36" customWidth="1"/>
    <col min="266" max="266" width="2.85546875" style="36" customWidth="1"/>
    <col min="267" max="267" width="11.42578125" style="36" customWidth="1"/>
    <col min="268" max="268" width="2.85546875" style="36" customWidth="1"/>
    <col min="269" max="269" width="11.42578125" style="36" customWidth="1"/>
    <col min="270" max="270" width="2.85546875" style="36" customWidth="1"/>
    <col min="271" max="271" width="8.28515625" style="36" customWidth="1"/>
    <col min="272" max="272" width="8.5703125" style="36" customWidth="1"/>
    <col min="273" max="274" width="0.42578125" style="36" customWidth="1"/>
    <col min="275" max="275" width="9.140625" style="36" customWidth="1"/>
    <col min="276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2.85546875" style="36" customWidth="1"/>
    <col min="517" max="517" width="11.42578125" style="36" customWidth="1"/>
    <col min="518" max="518" width="2.85546875" style="36" customWidth="1"/>
    <col min="519" max="519" width="7.5703125" style="36" customWidth="1"/>
    <col min="520" max="520" width="2.85546875" style="36" customWidth="1"/>
    <col min="521" max="521" width="10" style="36" customWidth="1"/>
    <col min="522" max="522" width="2.85546875" style="36" customWidth="1"/>
    <col min="523" max="523" width="11.42578125" style="36" customWidth="1"/>
    <col min="524" max="524" width="2.85546875" style="36" customWidth="1"/>
    <col min="525" max="525" width="11.42578125" style="36" customWidth="1"/>
    <col min="526" max="526" width="2.85546875" style="36" customWidth="1"/>
    <col min="527" max="527" width="8.28515625" style="36" customWidth="1"/>
    <col min="528" max="528" width="8.5703125" style="36" customWidth="1"/>
    <col min="529" max="530" width="0.42578125" style="36" customWidth="1"/>
    <col min="531" max="531" width="9.140625" style="36" customWidth="1"/>
    <col min="532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2.85546875" style="36" customWidth="1"/>
    <col min="773" max="773" width="11.42578125" style="36" customWidth="1"/>
    <col min="774" max="774" width="2.85546875" style="36" customWidth="1"/>
    <col min="775" max="775" width="7.5703125" style="36" customWidth="1"/>
    <col min="776" max="776" width="2.85546875" style="36" customWidth="1"/>
    <col min="777" max="777" width="10" style="36" customWidth="1"/>
    <col min="778" max="778" width="2.85546875" style="36" customWidth="1"/>
    <col min="779" max="779" width="11.42578125" style="36" customWidth="1"/>
    <col min="780" max="780" width="2.85546875" style="36" customWidth="1"/>
    <col min="781" max="781" width="11.42578125" style="36" customWidth="1"/>
    <col min="782" max="782" width="2.85546875" style="36" customWidth="1"/>
    <col min="783" max="783" width="8.28515625" style="36" customWidth="1"/>
    <col min="784" max="784" width="8.5703125" style="36" customWidth="1"/>
    <col min="785" max="786" width="0.42578125" style="36" customWidth="1"/>
    <col min="787" max="787" width="9.140625" style="36" customWidth="1"/>
    <col min="788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2.85546875" style="36" customWidth="1"/>
    <col min="1029" max="1029" width="11.42578125" style="36" customWidth="1"/>
    <col min="1030" max="1030" width="2.85546875" style="36" customWidth="1"/>
    <col min="1031" max="1031" width="7.5703125" style="36" customWidth="1"/>
    <col min="1032" max="1032" width="2.85546875" style="36" customWidth="1"/>
    <col min="1033" max="1033" width="10" style="36" customWidth="1"/>
    <col min="1034" max="1034" width="2.85546875" style="36" customWidth="1"/>
    <col min="1035" max="1035" width="11.42578125" style="36" customWidth="1"/>
    <col min="1036" max="1036" width="2.85546875" style="36" customWidth="1"/>
    <col min="1037" max="1037" width="11.42578125" style="36" customWidth="1"/>
    <col min="1038" max="1038" width="2.85546875" style="36" customWidth="1"/>
    <col min="1039" max="1039" width="8.28515625" style="36" customWidth="1"/>
    <col min="1040" max="1040" width="8.5703125" style="36" customWidth="1"/>
    <col min="1041" max="1042" width="0.42578125" style="36" customWidth="1"/>
    <col min="1043" max="1043" width="9.140625" style="36" customWidth="1"/>
    <col min="1044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2.85546875" style="36" customWidth="1"/>
    <col min="1285" max="1285" width="11.42578125" style="36" customWidth="1"/>
    <col min="1286" max="1286" width="2.85546875" style="36" customWidth="1"/>
    <col min="1287" max="1287" width="7.5703125" style="36" customWidth="1"/>
    <col min="1288" max="1288" width="2.85546875" style="36" customWidth="1"/>
    <col min="1289" max="1289" width="10" style="36" customWidth="1"/>
    <col min="1290" max="1290" width="2.85546875" style="36" customWidth="1"/>
    <col min="1291" max="1291" width="11.42578125" style="36" customWidth="1"/>
    <col min="1292" max="1292" width="2.85546875" style="36" customWidth="1"/>
    <col min="1293" max="1293" width="11.42578125" style="36" customWidth="1"/>
    <col min="1294" max="1294" width="2.85546875" style="36" customWidth="1"/>
    <col min="1295" max="1295" width="8.28515625" style="36" customWidth="1"/>
    <col min="1296" max="1296" width="8.5703125" style="36" customWidth="1"/>
    <col min="1297" max="1298" width="0.42578125" style="36" customWidth="1"/>
    <col min="1299" max="1299" width="9.140625" style="36" customWidth="1"/>
    <col min="1300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2.85546875" style="36" customWidth="1"/>
    <col min="1541" max="1541" width="11.42578125" style="36" customWidth="1"/>
    <col min="1542" max="1542" width="2.85546875" style="36" customWidth="1"/>
    <col min="1543" max="1543" width="7.5703125" style="36" customWidth="1"/>
    <col min="1544" max="1544" width="2.85546875" style="36" customWidth="1"/>
    <col min="1545" max="1545" width="10" style="36" customWidth="1"/>
    <col min="1546" max="1546" width="2.85546875" style="36" customWidth="1"/>
    <col min="1547" max="1547" width="11.42578125" style="36" customWidth="1"/>
    <col min="1548" max="1548" width="2.85546875" style="36" customWidth="1"/>
    <col min="1549" max="1549" width="11.42578125" style="36" customWidth="1"/>
    <col min="1550" max="1550" width="2.85546875" style="36" customWidth="1"/>
    <col min="1551" max="1551" width="8.28515625" style="36" customWidth="1"/>
    <col min="1552" max="1552" width="8.5703125" style="36" customWidth="1"/>
    <col min="1553" max="1554" width="0.42578125" style="36" customWidth="1"/>
    <col min="1555" max="1555" width="9.140625" style="36" customWidth="1"/>
    <col min="1556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2.85546875" style="36" customWidth="1"/>
    <col min="1797" max="1797" width="11.42578125" style="36" customWidth="1"/>
    <col min="1798" max="1798" width="2.85546875" style="36" customWidth="1"/>
    <col min="1799" max="1799" width="7.5703125" style="36" customWidth="1"/>
    <col min="1800" max="1800" width="2.85546875" style="36" customWidth="1"/>
    <col min="1801" max="1801" width="10" style="36" customWidth="1"/>
    <col min="1802" max="1802" width="2.85546875" style="36" customWidth="1"/>
    <col min="1803" max="1803" width="11.42578125" style="36" customWidth="1"/>
    <col min="1804" max="1804" width="2.85546875" style="36" customWidth="1"/>
    <col min="1805" max="1805" width="11.42578125" style="36" customWidth="1"/>
    <col min="1806" max="1806" width="2.85546875" style="36" customWidth="1"/>
    <col min="1807" max="1807" width="8.28515625" style="36" customWidth="1"/>
    <col min="1808" max="1808" width="8.5703125" style="36" customWidth="1"/>
    <col min="1809" max="1810" width="0.42578125" style="36" customWidth="1"/>
    <col min="1811" max="1811" width="9.140625" style="36" customWidth="1"/>
    <col min="1812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2.85546875" style="36" customWidth="1"/>
    <col min="2053" max="2053" width="11.42578125" style="36" customWidth="1"/>
    <col min="2054" max="2054" width="2.85546875" style="36" customWidth="1"/>
    <col min="2055" max="2055" width="7.5703125" style="36" customWidth="1"/>
    <col min="2056" max="2056" width="2.85546875" style="36" customWidth="1"/>
    <col min="2057" max="2057" width="10" style="36" customWidth="1"/>
    <col min="2058" max="2058" width="2.85546875" style="36" customWidth="1"/>
    <col min="2059" max="2059" width="11.42578125" style="36" customWidth="1"/>
    <col min="2060" max="2060" width="2.85546875" style="36" customWidth="1"/>
    <col min="2061" max="2061" width="11.42578125" style="36" customWidth="1"/>
    <col min="2062" max="2062" width="2.85546875" style="36" customWidth="1"/>
    <col min="2063" max="2063" width="8.28515625" style="36" customWidth="1"/>
    <col min="2064" max="2064" width="8.5703125" style="36" customWidth="1"/>
    <col min="2065" max="2066" width="0.42578125" style="36" customWidth="1"/>
    <col min="2067" max="2067" width="9.140625" style="36" customWidth="1"/>
    <col min="2068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2.85546875" style="36" customWidth="1"/>
    <col min="2309" max="2309" width="11.42578125" style="36" customWidth="1"/>
    <col min="2310" max="2310" width="2.85546875" style="36" customWidth="1"/>
    <col min="2311" max="2311" width="7.5703125" style="36" customWidth="1"/>
    <col min="2312" max="2312" width="2.85546875" style="36" customWidth="1"/>
    <col min="2313" max="2313" width="10" style="36" customWidth="1"/>
    <col min="2314" max="2314" width="2.85546875" style="36" customWidth="1"/>
    <col min="2315" max="2315" width="11.42578125" style="36" customWidth="1"/>
    <col min="2316" max="2316" width="2.85546875" style="36" customWidth="1"/>
    <col min="2317" max="2317" width="11.42578125" style="36" customWidth="1"/>
    <col min="2318" max="2318" width="2.85546875" style="36" customWidth="1"/>
    <col min="2319" max="2319" width="8.28515625" style="36" customWidth="1"/>
    <col min="2320" max="2320" width="8.5703125" style="36" customWidth="1"/>
    <col min="2321" max="2322" width="0.42578125" style="36" customWidth="1"/>
    <col min="2323" max="2323" width="9.140625" style="36" customWidth="1"/>
    <col min="2324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2.85546875" style="36" customWidth="1"/>
    <col min="2565" max="2565" width="11.42578125" style="36" customWidth="1"/>
    <col min="2566" max="2566" width="2.85546875" style="36" customWidth="1"/>
    <col min="2567" max="2567" width="7.5703125" style="36" customWidth="1"/>
    <col min="2568" max="2568" width="2.85546875" style="36" customWidth="1"/>
    <col min="2569" max="2569" width="10" style="36" customWidth="1"/>
    <col min="2570" max="2570" width="2.85546875" style="36" customWidth="1"/>
    <col min="2571" max="2571" width="11.42578125" style="36" customWidth="1"/>
    <col min="2572" max="2572" width="2.85546875" style="36" customWidth="1"/>
    <col min="2573" max="2573" width="11.42578125" style="36" customWidth="1"/>
    <col min="2574" max="2574" width="2.85546875" style="36" customWidth="1"/>
    <col min="2575" max="2575" width="8.28515625" style="36" customWidth="1"/>
    <col min="2576" max="2576" width="8.5703125" style="36" customWidth="1"/>
    <col min="2577" max="2578" width="0.42578125" style="36" customWidth="1"/>
    <col min="2579" max="2579" width="9.140625" style="36" customWidth="1"/>
    <col min="2580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2.85546875" style="36" customWidth="1"/>
    <col min="2821" max="2821" width="11.42578125" style="36" customWidth="1"/>
    <col min="2822" max="2822" width="2.85546875" style="36" customWidth="1"/>
    <col min="2823" max="2823" width="7.5703125" style="36" customWidth="1"/>
    <col min="2824" max="2824" width="2.85546875" style="36" customWidth="1"/>
    <col min="2825" max="2825" width="10" style="36" customWidth="1"/>
    <col min="2826" max="2826" width="2.85546875" style="36" customWidth="1"/>
    <col min="2827" max="2827" width="11.42578125" style="36" customWidth="1"/>
    <col min="2828" max="2828" width="2.85546875" style="36" customWidth="1"/>
    <col min="2829" max="2829" width="11.42578125" style="36" customWidth="1"/>
    <col min="2830" max="2830" width="2.85546875" style="36" customWidth="1"/>
    <col min="2831" max="2831" width="8.28515625" style="36" customWidth="1"/>
    <col min="2832" max="2832" width="8.5703125" style="36" customWidth="1"/>
    <col min="2833" max="2834" width="0.42578125" style="36" customWidth="1"/>
    <col min="2835" max="2835" width="9.140625" style="36" customWidth="1"/>
    <col min="2836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2.85546875" style="36" customWidth="1"/>
    <col min="3077" max="3077" width="11.42578125" style="36" customWidth="1"/>
    <col min="3078" max="3078" width="2.85546875" style="36" customWidth="1"/>
    <col min="3079" max="3079" width="7.5703125" style="36" customWidth="1"/>
    <col min="3080" max="3080" width="2.85546875" style="36" customWidth="1"/>
    <col min="3081" max="3081" width="10" style="36" customWidth="1"/>
    <col min="3082" max="3082" width="2.85546875" style="36" customWidth="1"/>
    <col min="3083" max="3083" width="11.42578125" style="36" customWidth="1"/>
    <col min="3084" max="3084" width="2.85546875" style="36" customWidth="1"/>
    <col min="3085" max="3085" width="11.42578125" style="36" customWidth="1"/>
    <col min="3086" max="3086" width="2.85546875" style="36" customWidth="1"/>
    <col min="3087" max="3087" width="8.28515625" style="36" customWidth="1"/>
    <col min="3088" max="3088" width="8.5703125" style="36" customWidth="1"/>
    <col min="3089" max="3090" width="0.42578125" style="36" customWidth="1"/>
    <col min="3091" max="3091" width="9.140625" style="36" customWidth="1"/>
    <col min="3092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2.85546875" style="36" customWidth="1"/>
    <col min="3333" max="3333" width="11.42578125" style="36" customWidth="1"/>
    <col min="3334" max="3334" width="2.85546875" style="36" customWidth="1"/>
    <col min="3335" max="3335" width="7.5703125" style="36" customWidth="1"/>
    <col min="3336" max="3336" width="2.85546875" style="36" customWidth="1"/>
    <col min="3337" max="3337" width="10" style="36" customWidth="1"/>
    <col min="3338" max="3338" width="2.85546875" style="36" customWidth="1"/>
    <col min="3339" max="3339" width="11.42578125" style="36" customWidth="1"/>
    <col min="3340" max="3340" width="2.85546875" style="36" customWidth="1"/>
    <col min="3341" max="3341" width="11.42578125" style="36" customWidth="1"/>
    <col min="3342" max="3342" width="2.85546875" style="36" customWidth="1"/>
    <col min="3343" max="3343" width="8.28515625" style="36" customWidth="1"/>
    <col min="3344" max="3344" width="8.5703125" style="36" customWidth="1"/>
    <col min="3345" max="3346" width="0.42578125" style="36" customWidth="1"/>
    <col min="3347" max="3347" width="9.140625" style="36" customWidth="1"/>
    <col min="3348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2.85546875" style="36" customWidth="1"/>
    <col min="3589" max="3589" width="11.42578125" style="36" customWidth="1"/>
    <col min="3590" max="3590" width="2.85546875" style="36" customWidth="1"/>
    <col min="3591" max="3591" width="7.5703125" style="36" customWidth="1"/>
    <col min="3592" max="3592" width="2.85546875" style="36" customWidth="1"/>
    <col min="3593" max="3593" width="10" style="36" customWidth="1"/>
    <col min="3594" max="3594" width="2.85546875" style="36" customWidth="1"/>
    <col min="3595" max="3595" width="11.42578125" style="36" customWidth="1"/>
    <col min="3596" max="3596" width="2.85546875" style="36" customWidth="1"/>
    <col min="3597" max="3597" width="11.42578125" style="36" customWidth="1"/>
    <col min="3598" max="3598" width="2.85546875" style="36" customWidth="1"/>
    <col min="3599" max="3599" width="8.28515625" style="36" customWidth="1"/>
    <col min="3600" max="3600" width="8.5703125" style="36" customWidth="1"/>
    <col min="3601" max="3602" width="0.42578125" style="36" customWidth="1"/>
    <col min="3603" max="3603" width="9.140625" style="36" customWidth="1"/>
    <col min="3604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2.85546875" style="36" customWidth="1"/>
    <col min="3845" max="3845" width="11.42578125" style="36" customWidth="1"/>
    <col min="3846" max="3846" width="2.85546875" style="36" customWidth="1"/>
    <col min="3847" max="3847" width="7.5703125" style="36" customWidth="1"/>
    <col min="3848" max="3848" width="2.85546875" style="36" customWidth="1"/>
    <col min="3849" max="3849" width="10" style="36" customWidth="1"/>
    <col min="3850" max="3850" width="2.85546875" style="36" customWidth="1"/>
    <col min="3851" max="3851" width="11.42578125" style="36" customWidth="1"/>
    <col min="3852" max="3852" width="2.85546875" style="36" customWidth="1"/>
    <col min="3853" max="3853" width="11.42578125" style="36" customWidth="1"/>
    <col min="3854" max="3854" width="2.85546875" style="36" customWidth="1"/>
    <col min="3855" max="3855" width="8.28515625" style="36" customWidth="1"/>
    <col min="3856" max="3856" width="8.5703125" style="36" customWidth="1"/>
    <col min="3857" max="3858" width="0.42578125" style="36" customWidth="1"/>
    <col min="3859" max="3859" width="9.140625" style="36" customWidth="1"/>
    <col min="3860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2.85546875" style="36" customWidth="1"/>
    <col min="4101" max="4101" width="11.42578125" style="36" customWidth="1"/>
    <col min="4102" max="4102" width="2.85546875" style="36" customWidth="1"/>
    <col min="4103" max="4103" width="7.5703125" style="36" customWidth="1"/>
    <col min="4104" max="4104" width="2.85546875" style="36" customWidth="1"/>
    <col min="4105" max="4105" width="10" style="36" customWidth="1"/>
    <col min="4106" max="4106" width="2.85546875" style="36" customWidth="1"/>
    <col min="4107" max="4107" width="11.42578125" style="36" customWidth="1"/>
    <col min="4108" max="4108" width="2.85546875" style="36" customWidth="1"/>
    <col min="4109" max="4109" width="11.42578125" style="36" customWidth="1"/>
    <col min="4110" max="4110" width="2.85546875" style="36" customWidth="1"/>
    <col min="4111" max="4111" width="8.28515625" style="36" customWidth="1"/>
    <col min="4112" max="4112" width="8.5703125" style="36" customWidth="1"/>
    <col min="4113" max="4114" width="0.42578125" style="36" customWidth="1"/>
    <col min="4115" max="4115" width="9.140625" style="36" customWidth="1"/>
    <col min="4116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2.85546875" style="36" customWidth="1"/>
    <col min="4357" max="4357" width="11.42578125" style="36" customWidth="1"/>
    <col min="4358" max="4358" width="2.85546875" style="36" customWidth="1"/>
    <col min="4359" max="4359" width="7.5703125" style="36" customWidth="1"/>
    <col min="4360" max="4360" width="2.85546875" style="36" customWidth="1"/>
    <col min="4361" max="4361" width="10" style="36" customWidth="1"/>
    <col min="4362" max="4362" width="2.85546875" style="36" customWidth="1"/>
    <col min="4363" max="4363" width="11.42578125" style="36" customWidth="1"/>
    <col min="4364" max="4364" width="2.85546875" style="36" customWidth="1"/>
    <col min="4365" max="4365" width="11.42578125" style="36" customWidth="1"/>
    <col min="4366" max="4366" width="2.85546875" style="36" customWidth="1"/>
    <col min="4367" max="4367" width="8.28515625" style="36" customWidth="1"/>
    <col min="4368" max="4368" width="8.5703125" style="36" customWidth="1"/>
    <col min="4369" max="4370" width="0.42578125" style="36" customWidth="1"/>
    <col min="4371" max="4371" width="9.140625" style="36" customWidth="1"/>
    <col min="4372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2.85546875" style="36" customWidth="1"/>
    <col min="4613" max="4613" width="11.42578125" style="36" customWidth="1"/>
    <col min="4614" max="4614" width="2.85546875" style="36" customWidth="1"/>
    <col min="4615" max="4615" width="7.5703125" style="36" customWidth="1"/>
    <col min="4616" max="4616" width="2.85546875" style="36" customWidth="1"/>
    <col min="4617" max="4617" width="10" style="36" customWidth="1"/>
    <col min="4618" max="4618" width="2.85546875" style="36" customWidth="1"/>
    <col min="4619" max="4619" width="11.42578125" style="36" customWidth="1"/>
    <col min="4620" max="4620" width="2.85546875" style="36" customWidth="1"/>
    <col min="4621" max="4621" width="11.42578125" style="36" customWidth="1"/>
    <col min="4622" max="4622" width="2.85546875" style="36" customWidth="1"/>
    <col min="4623" max="4623" width="8.28515625" style="36" customWidth="1"/>
    <col min="4624" max="4624" width="8.5703125" style="36" customWidth="1"/>
    <col min="4625" max="4626" width="0.42578125" style="36" customWidth="1"/>
    <col min="4627" max="4627" width="9.140625" style="36" customWidth="1"/>
    <col min="4628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2.85546875" style="36" customWidth="1"/>
    <col min="4869" max="4869" width="11.42578125" style="36" customWidth="1"/>
    <col min="4870" max="4870" width="2.85546875" style="36" customWidth="1"/>
    <col min="4871" max="4871" width="7.5703125" style="36" customWidth="1"/>
    <col min="4872" max="4872" width="2.85546875" style="36" customWidth="1"/>
    <col min="4873" max="4873" width="10" style="36" customWidth="1"/>
    <col min="4874" max="4874" width="2.85546875" style="36" customWidth="1"/>
    <col min="4875" max="4875" width="11.42578125" style="36" customWidth="1"/>
    <col min="4876" max="4876" width="2.85546875" style="36" customWidth="1"/>
    <col min="4877" max="4877" width="11.42578125" style="36" customWidth="1"/>
    <col min="4878" max="4878" width="2.85546875" style="36" customWidth="1"/>
    <col min="4879" max="4879" width="8.28515625" style="36" customWidth="1"/>
    <col min="4880" max="4880" width="8.5703125" style="36" customWidth="1"/>
    <col min="4881" max="4882" width="0.42578125" style="36" customWidth="1"/>
    <col min="4883" max="4883" width="9.140625" style="36" customWidth="1"/>
    <col min="4884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2.85546875" style="36" customWidth="1"/>
    <col min="5125" max="5125" width="11.42578125" style="36" customWidth="1"/>
    <col min="5126" max="5126" width="2.85546875" style="36" customWidth="1"/>
    <col min="5127" max="5127" width="7.5703125" style="36" customWidth="1"/>
    <col min="5128" max="5128" width="2.85546875" style="36" customWidth="1"/>
    <col min="5129" max="5129" width="10" style="36" customWidth="1"/>
    <col min="5130" max="5130" width="2.85546875" style="36" customWidth="1"/>
    <col min="5131" max="5131" width="11.42578125" style="36" customWidth="1"/>
    <col min="5132" max="5132" width="2.85546875" style="36" customWidth="1"/>
    <col min="5133" max="5133" width="11.42578125" style="36" customWidth="1"/>
    <col min="5134" max="5134" width="2.85546875" style="36" customWidth="1"/>
    <col min="5135" max="5135" width="8.28515625" style="36" customWidth="1"/>
    <col min="5136" max="5136" width="8.5703125" style="36" customWidth="1"/>
    <col min="5137" max="5138" width="0.42578125" style="36" customWidth="1"/>
    <col min="5139" max="5139" width="9.140625" style="36" customWidth="1"/>
    <col min="5140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2.85546875" style="36" customWidth="1"/>
    <col min="5381" max="5381" width="11.42578125" style="36" customWidth="1"/>
    <col min="5382" max="5382" width="2.85546875" style="36" customWidth="1"/>
    <col min="5383" max="5383" width="7.5703125" style="36" customWidth="1"/>
    <col min="5384" max="5384" width="2.85546875" style="36" customWidth="1"/>
    <col min="5385" max="5385" width="10" style="36" customWidth="1"/>
    <col min="5386" max="5386" width="2.85546875" style="36" customWidth="1"/>
    <col min="5387" max="5387" width="11.42578125" style="36" customWidth="1"/>
    <col min="5388" max="5388" width="2.85546875" style="36" customWidth="1"/>
    <col min="5389" max="5389" width="11.42578125" style="36" customWidth="1"/>
    <col min="5390" max="5390" width="2.85546875" style="36" customWidth="1"/>
    <col min="5391" max="5391" width="8.28515625" style="36" customWidth="1"/>
    <col min="5392" max="5392" width="8.5703125" style="36" customWidth="1"/>
    <col min="5393" max="5394" width="0.42578125" style="36" customWidth="1"/>
    <col min="5395" max="5395" width="9.140625" style="36" customWidth="1"/>
    <col min="5396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2.85546875" style="36" customWidth="1"/>
    <col min="5637" max="5637" width="11.42578125" style="36" customWidth="1"/>
    <col min="5638" max="5638" width="2.85546875" style="36" customWidth="1"/>
    <col min="5639" max="5639" width="7.5703125" style="36" customWidth="1"/>
    <col min="5640" max="5640" width="2.85546875" style="36" customWidth="1"/>
    <col min="5641" max="5641" width="10" style="36" customWidth="1"/>
    <col min="5642" max="5642" width="2.85546875" style="36" customWidth="1"/>
    <col min="5643" max="5643" width="11.42578125" style="36" customWidth="1"/>
    <col min="5644" max="5644" width="2.85546875" style="36" customWidth="1"/>
    <col min="5645" max="5645" width="11.42578125" style="36" customWidth="1"/>
    <col min="5646" max="5646" width="2.85546875" style="36" customWidth="1"/>
    <col min="5647" max="5647" width="8.28515625" style="36" customWidth="1"/>
    <col min="5648" max="5648" width="8.5703125" style="36" customWidth="1"/>
    <col min="5649" max="5650" width="0.42578125" style="36" customWidth="1"/>
    <col min="5651" max="5651" width="9.140625" style="36" customWidth="1"/>
    <col min="5652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2.85546875" style="36" customWidth="1"/>
    <col min="5893" max="5893" width="11.42578125" style="36" customWidth="1"/>
    <col min="5894" max="5894" width="2.85546875" style="36" customWidth="1"/>
    <col min="5895" max="5895" width="7.5703125" style="36" customWidth="1"/>
    <col min="5896" max="5896" width="2.85546875" style="36" customWidth="1"/>
    <col min="5897" max="5897" width="10" style="36" customWidth="1"/>
    <col min="5898" max="5898" width="2.85546875" style="36" customWidth="1"/>
    <col min="5899" max="5899" width="11.42578125" style="36" customWidth="1"/>
    <col min="5900" max="5900" width="2.85546875" style="36" customWidth="1"/>
    <col min="5901" max="5901" width="11.42578125" style="36" customWidth="1"/>
    <col min="5902" max="5902" width="2.85546875" style="36" customWidth="1"/>
    <col min="5903" max="5903" width="8.28515625" style="36" customWidth="1"/>
    <col min="5904" max="5904" width="8.5703125" style="36" customWidth="1"/>
    <col min="5905" max="5906" width="0.42578125" style="36" customWidth="1"/>
    <col min="5907" max="5907" width="9.140625" style="36" customWidth="1"/>
    <col min="5908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2.85546875" style="36" customWidth="1"/>
    <col min="6149" max="6149" width="11.42578125" style="36" customWidth="1"/>
    <col min="6150" max="6150" width="2.85546875" style="36" customWidth="1"/>
    <col min="6151" max="6151" width="7.5703125" style="36" customWidth="1"/>
    <col min="6152" max="6152" width="2.85546875" style="36" customWidth="1"/>
    <col min="6153" max="6153" width="10" style="36" customWidth="1"/>
    <col min="6154" max="6154" width="2.85546875" style="36" customWidth="1"/>
    <col min="6155" max="6155" width="11.42578125" style="36" customWidth="1"/>
    <col min="6156" max="6156" width="2.85546875" style="36" customWidth="1"/>
    <col min="6157" max="6157" width="11.42578125" style="36" customWidth="1"/>
    <col min="6158" max="6158" width="2.85546875" style="36" customWidth="1"/>
    <col min="6159" max="6159" width="8.28515625" style="36" customWidth="1"/>
    <col min="6160" max="6160" width="8.5703125" style="36" customWidth="1"/>
    <col min="6161" max="6162" width="0.42578125" style="36" customWidth="1"/>
    <col min="6163" max="6163" width="9.140625" style="36" customWidth="1"/>
    <col min="6164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2.85546875" style="36" customWidth="1"/>
    <col min="6405" max="6405" width="11.42578125" style="36" customWidth="1"/>
    <col min="6406" max="6406" width="2.85546875" style="36" customWidth="1"/>
    <col min="6407" max="6407" width="7.5703125" style="36" customWidth="1"/>
    <col min="6408" max="6408" width="2.85546875" style="36" customWidth="1"/>
    <col min="6409" max="6409" width="10" style="36" customWidth="1"/>
    <col min="6410" max="6410" width="2.85546875" style="36" customWidth="1"/>
    <col min="6411" max="6411" width="11.42578125" style="36" customWidth="1"/>
    <col min="6412" max="6412" width="2.85546875" style="36" customWidth="1"/>
    <col min="6413" max="6413" width="11.42578125" style="36" customWidth="1"/>
    <col min="6414" max="6414" width="2.85546875" style="36" customWidth="1"/>
    <col min="6415" max="6415" width="8.28515625" style="36" customWidth="1"/>
    <col min="6416" max="6416" width="8.5703125" style="36" customWidth="1"/>
    <col min="6417" max="6418" width="0.42578125" style="36" customWidth="1"/>
    <col min="6419" max="6419" width="9.140625" style="36" customWidth="1"/>
    <col min="6420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2.85546875" style="36" customWidth="1"/>
    <col min="6661" max="6661" width="11.42578125" style="36" customWidth="1"/>
    <col min="6662" max="6662" width="2.85546875" style="36" customWidth="1"/>
    <col min="6663" max="6663" width="7.5703125" style="36" customWidth="1"/>
    <col min="6664" max="6664" width="2.85546875" style="36" customWidth="1"/>
    <col min="6665" max="6665" width="10" style="36" customWidth="1"/>
    <col min="6666" max="6666" width="2.85546875" style="36" customWidth="1"/>
    <col min="6667" max="6667" width="11.42578125" style="36" customWidth="1"/>
    <col min="6668" max="6668" width="2.85546875" style="36" customWidth="1"/>
    <col min="6669" max="6669" width="11.42578125" style="36" customWidth="1"/>
    <col min="6670" max="6670" width="2.85546875" style="36" customWidth="1"/>
    <col min="6671" max="6671" width="8.28515625" style="36" customWidth="1"/>
    <col min="6672" max="6672" width="8.5703125" style="36" customWidth="1"/>
    <col min="6673" max="6674" width="0.42578125" style="36" customWidth="1"/>
    <col min="6675" max="6675" width="9.140625" style="36" customWidth="1"/>
    <col min="6676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2.85546875" style="36" customWidth="1"/>
    <col min="6917" max="6917" width="11.42578125" style="36" customWidth="1"/>
    <col min="6918" max="6918" width="2.85546875" style="36" customWidth="1"/>
    <col min="6919" max="6919" width="7.5703125" style="36" customWidth="1"/>
    <col min="6920" max="6920" width="2.85546875" style="36" customWidth="1"/>
    <col min="6921" max="6921" width="10" style="36" customWidth="1"/>
    <col min="6922" max="6922" width="2.85546875" style="36" customWidth="1"/>
    <col min="6923" max="6923" width="11.42578125" style="36" customWidth="1"/>
    <col min="6924" max="6924" width="2.85546875" style="36" customWidth="1"/>
    <col min="6925" max="6925" width="11.42578125" style="36" customWidth="1"/>
    <col min="6926" max="6926" width="2.85546875" style="36" customWidth="1"/>
    <col min="6927" max="6927" width="8.28515625" style="36" customWidth="1"/>
    <col min="6928" max="6928" width="8.5703125" style="36" customWidth="1"/>
    <col min="6929" max="6930" width="0.42578125" style="36" customWidth="1"/>
    <col min="6931" max="6931" width="9.140625" style="36" customWidth="1"/>
    <col min="6932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2.85546875" style="36" customWidth="1"/>
    <col min="7173" max="7173" width="11.42578125" style="36" customWidth="1"/>
    <col min="7174" max="7174" width="2.85546875" style="36" customWidth="1"/>
    <col min="7175" max="7175" width="7.5703125" style="36" customWidth="1"/>
    <col min="7176" max="7176" width="2.85546875" style="36" customWidth="1"/>
    <col min="7177" max="7177" width="10" style="36" customWidth="1"/>
    <col min="7178" max="7178" width="2.85546875" style="36" customWidth="1"/>
    <col min="7179" max="7179" width="11.42578125" style="36" customWidth="1"/>
    <col min="7180" max="7180" width="2.85546875" style="36" customWidth="1"/>
    <col min="7181" max="7181" width="11.42578125" style="36" customWidth="1"/>
    <col min="7182" max="7182" width="2.85546875" style="36" customWidth="1"/>
    <col min="7183" max="7183" width="8.28515625" style="36" customWidth="1"/>
    <col min="7184" max="7184" width="8.5703125" style="36" customWidth="1"/>
    <col min="7185" max="7186" width="0.42578125" style="36" customWidth="1"/>
    <col min="7187" max="7187" width="9.140625" style="36" customWidth="1"/>
    <col min="7188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2.85546875" style="36" customWidth="1"/>
    <col min="7429" max="7429" width="11.42578125" style="36" customWidth="1"/>
    <col min="7430" max="7430" width="2.85546875" style="36" customWidth="1"/>
    <col min="7431" max="7431" width="7.5703125" style="36" customWidth="1"/>
    <col min="7432" max="7432" width="2.85546875" style="36" customWidth="1"/>
    <col min="7433" max="7433" width="10" style="36" customWidth="1"/>
    <col min="7434" max="7434" width="2.85546875" style="36" customWidth="1"/>
    <col min="7435" max="7435" width="11.42578125" style="36" customWidth="1"/>
    <col min="7436" max="7436" width="2.85546875" style="36" customWidth="1"/>
    <col min="7437" max="7437" width="11.42578125" style="36" customWidth="1"/>
    <col min="7438" max="7438" width="2.85546875" style="36" customWidth="1"/>
    <col min="7439" max="7439" width="8.28515625" style="36" customWidth="1"/>
    <col min="7440" max="7440" width="8.5703125" style="36" customWidth="1"/>
    <col min="7441" max="7442" width="0.42578125" style="36" customWidth="1"/>
    <col min="7443" max="7443" width="9.140625" style="36" customWidth="1"/>
    <col min="7444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2.85546875" style="36" customWidth="1"/>
    <col min="7685" max="7685" width="11.42578125" style="36" customWidth="1"/>
    <col min="7686" max="7686" width="2.85546875" style="36" customWidth="1"/>
    <col min="7687" max="7687" width="7.5703125" style="36" customWidth="1"/>
    <col min="7688" max="7688" width="2.85546875" style="36" customWidth="1"/>
    <col min="7689" max="7689" width="10" style="36" customWidth="1"/>
    <col min="7690" max="7690" width="2.85546875" style="36" customWidth="1"/>
    <col min="7691" max="7691" width="11.42578125" style="36" customWidth="1"/>
    <col min="7692" max="7692" width="2.85546875" style="36" customWidth="1"/>
    <col min="7693" max="7693" width="11.42578125" style="36" customWidth="1"/>
    <col min="7694" max="7694" width="2.85546875" style="36" customWidth="1"/>
    <col min="7695" max="7695" width="8.28515625" style="36" customWidth="1"/>
    <col min="7696" max="7696" width="8.5703125" style="36" customWidth="1"/>
    <col min="7697" max="7698" width="0.42578125" style="36" customWidth="1"/>
    <col min="7699" max="7699" width="9.140625" style="36" customWidth="1"/>
    <col min="7700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2.85546875" style="36" customWidth="1"/>
    <col min="7941" max="7941" width="11.42578125" style="36" customWidth="1"/>
    <col min="7942" max="7942" width="2.85546875" style="36" customWidth="1"/>
    <col min="7943" max="7943" width="7.5703125" style="36" customWidth="1"/>
    <col min="7944" max="7944" width="2.85546875" style="36" customWidth="1"/>
    <col min="7945" max="7945" width="10" style="36" customWidth="1"/>
    <col min="7946" max="7946" width="2.85546875" style="36" customWidth="1"/>
    <col min="7947" max="7947" width="11.42578125" style="36" customWidth="1"/>
    <col min="7948" max="7948" width="2.85546875" style="36" customWidth="1"/>
    <col min="7949" max="7949" width="11.42578125" style="36" customWidth="1"/>
    <col min="7950" max="7950" width="2.85546875" style="36" customWidth="1"/>
    <col min="7951" max="7951" width="8.28515625" style="36" customWidth="1"/>
    <col min="7952" max="7952" width="8.5703125" style="36" customWidth="1"/>
    <col min="7953" max="7954" width="0.42578125" style="36" customWidth="1"/>
    <col min="7955" max="7955" width="9.140625" style="36" customWidth="1"/>
    <col min="7956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2.85546875" style="36" customWidth="1"/>
    <col min="8197" max="8197" width="11.42578125" style="36" customWidth="1"/>
    <col min="8198" max="8198" width="2.85546875" style="36" customWidth="1"/>
    <col min="8199" max="8199" width="7.5703125" style="36" customWidth="1"/>
    <col min="8200" max="8200" width="2.85546875" style="36" customWidth="1"/>
    <col min="8201" max="8201" width="10" style="36" customWidth="1"/>
    <col min="8202" max="8202" width="2.85546875" style="36" customWidth="1"/>
    <col min="8203" max="8203" width="11.42578125" style="36" customWidth="1"/>
    <col min="8204" max="8204" width="2.85546875" style="36" customWidth="1"/>
    <col min="8205" max="8205" width="11.42578125" style="36" customWidth="1"/>
    <col min="8206" max="8206" width="2.85546875" style="36" customWidth="1"/>
    <col min="8207" max="8207" width="8.28515625" style="36" customWidth="1"/>
    <col min="8208" max="8208" width="8.5703125" style="36" customWidth="1"/>
    <col min="8209" max="8210" width="0.42578125" style="36" customWidth="1"/>
    <col min="8211" max="8211" width="9.140625" style="36" customWidth="1"/>
    <col min="8212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2.85546875" style="36" customWidth="1"/>
    <col min="8453" max="8453" width="11.42578125" style="36" customWidth="1"/>
    <col min="8454" max="8454" width="2.85546875" style="36" customWidth="1"/>
    <col min="8455" max="8455" width="7.5703125" style="36" customWidth="1"/>
    <col min="8456" max="8456" width="2.85546875" style="36" customWidth="1"/>
    <col min="8457" max="8457" width="10" style="36" customWidth="1"/>
    <col min="8458" max="8458" width="2.85546875" style="36" customWidth="1"/>
    <col min="8459" max="8459" width="11.42578125" style="36" customWidth="1"/>
    <col min="8460" max="8460" width="2.85546875" style="36" customWidth="1"/>
    <col min="8461" max="8461" width="11.42578125" style="36" customWidth="1"/>
    <col min="8462" max="8462" width="2.85546875" style="36" customWidth="1"/>
    <col min="8463" max="8463" width="8.28515625" style="36" customWidth="1"/>
    <col min="8464" max="8464" width="8.5703125" style="36" customWidth="1"/>
    <col min="8465" max="8466" width="0.42578125" style="36" customWidth="1"/>
    <col min="8467" max="8467" width="9.140625" style="36" customWidth="1"/>
    <col min="8468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2.85546875" style="36" customWidth="1"/>
    <col min="8709" max="8709" width="11.42578125" style="36" customWidth="1"/>
    <col min="8710" max="8710" width="2.85546875" style="36" customWidth="1"/>
    <col min="8711" max="8711" width="7.5703125" style="36" customWidth="1"/>
    <col min="8712" max="8712" width="2.85546875" style="36" customWidth="1"/>
    <col min="8713" max="8713" width="10" style="36" customWidth="1"/>
    <col min="8714" max="8714" width="2.85546875" style="36" customWidth="1"/>
    <col min="8715" max="8715" width="11.42578125" style="36" customWidth="1"/>
    <col min="8716" max="8716" width="2.85546875" style="36" customWidth="1"/>
    <col min="8717" max="8717" width="11.42578125" style="36" customWidth="1"/>
    <col min="8718" max="8718" width="2.85546875" style="36" customWidth="1"/>
    <col min="8719" max="8719" width="8.28515625" style="36" customWidth="1"/>
    <col min="8720" max="8720" width="8.5703125" style="36" customWidth="1"/>
    <col min="8721" max="8722" width="0.42578125" style="36" customWidth="1"/>
    <col min="8723" max="8723" width="9.140625" style="36" customWidth="1"/>
    <col min="8724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2.85546875" style="36" customWidth="1"/>
    <col min="8965" max="8965" width="11.42578125" style="36" customWidth="1"/>
    <col min="8966" max="8966" width="2.85546875" style="36" customWidth="1"/>
    <col min="8967" max="8967" width="7.5703125" style="36" customWidth="1"/>
    <col min="8968" max="8968" width="2.85546875" style="36" customWidth="1"/>
    <col min="8969" max="8969" width="10" style="36" customWidth="1"/>
    <col min="8970" max="8970" width="2.85546875" style="36" customWidth="1"/>
    <col min="8971" max="8971" width="11.42578125" style="36" customWidth="1"/>
    <col min="8972" max="8972" width="2.85546875" style="36" customWidth="1"/>
    <col min="8973" max="8973" width="11.42578125" style="36" customWidth="1"/>
    <col min="8974" max="8974" width="2.85546875" style="36" customWidth="1"/>
    <col min="8975" max="8975" width="8.28515625" style="36" customWidth="1"/>
    <col min="8976" max="8976" width="8.5703125" style="36" customWidth="1"/>
    <col min="8977" max="8978" width="0.42578125" style="36" customWidth="1"/>
    <col min="8979" max="8979" width="9.140625" style="36" customWidth="1"/>
    <col min="8980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2.85546875" style="36" customWidth="1"/>
    <col min="9221" max="9221" width="11.42578125" style="36" customWidth="1"/>
    <col min="9222" max="9222" width="2.85546875" style="36" customWidth="1"/>
    <col min="9223" max="9223" width="7.5703125" style="36" customWidth="1"/>
    <col min="9224" max="9224" width="2.85546875" style="36" customWidth="1"/>
    <col min="9225" max="9225" width="10" style="36" customWidth="1"/>
    <col min="9226" max="9226" width="2.85546875" style="36" customWidth="1"/>
    <col min="9227" max="9227" width="11.42578125" style="36" customWidth="1"/>
    <col min="9228" max="9228" width="2.85546875" style="36" customWidth="1"/>
    <col min="9229" max="9229" width="11.42578125" style="36" customWidth="1"/>
    <col min="9230" max="9230" width="2.85546875" style="36" customWidth="1"/>
    <col min="9231" max="9231" width="8.28515625" style="36" customWidth="1"/>
    <col min="9232" max="9232" width="8.5703125" style="36" customWidth="1"/>
    <col min="9233" max="9234" width="0.42578125" style="36" customWidth="1"/>
    <col min="9235" max="9235" width="9.140625" style="36" customWidth="1"/>
    <col min="9236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2.85546875" style="36" customWidth="1"/>
    <col min="9477" max="9477" width="11.42578125" style="36" customWidth="1"/>
    <col min="9478" max="9478" width="2.85546875" style="36" customWidth="1"/>
    <col min="9479" max="9479" width="7.5703125" style="36" customWidth="1"/>
    <col min="9480" max="9480" width="2.85546875" style="36" customWidth="1"/>
    <col min="9481" max="9481" width="10" style="36" customWidth="1"/>
    <col min="9482" max="9482" width="2.85546875" style="36" customWidth="1"/>
    <col min="9483" max="9483" width="11.42578125" style="36" customWidth="1"/>
    <col min="9484" max="9484" width="2.85546875" style="36" customWidth="1"/>
    <col min="9485" max="9485" width="11.42578125" style="36" customWidth="1"/>
    <col min="9486" max="9486" width="2.85546875" style="36" customWidth="1"/>
    <col min="9487" max="9487" width="8.28515625" style="36" customWidth="1"/>
    <col min="9488" max="9488" width="8.5703125" style="36" customWidth="1"/>
    <col min="9489" max="9490" width="0.42578125" style="36" customWidth="1"/>
    <col min="9491" max="9491" width="9.140625" style="36" customWidth="1"/>
    <col min="9492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2.85546875" style="36" customWidth="1"/>
    <col min="9733" max="9733" width="11.42578125" style="36" customWidth="1"/>
    <col min="9734" max="9734" width="2.85546875" style="36" customWidth="1"/>
    <col min="9735" max="9735" width="7.5703125" style="36" customWidth="1"/>
    <col min="9736" max="9736" width="2.85546875" style="36" customWidth="1"/>
    <col min="9737" max="9737" width="10" style="36" customWidth="1"/>
    <col min="9738" max="9738" width="2.85546875" style="36" customWidth="1"/>
    <col min="9739" max="9739" width="11.42578125" style="36" customWidth="1"/>
    <col min="9740" max="9740" width="2.85546875" style="36" customWidth="1"/>
    <col min="9741" max="9741" width="11.42578125" style="36" customWidth="1"/>
    <col min="9742" max="9742" width="2.85546875" style="36" customWidth="1"/>
    <col min="9743" max="9743" width="8.28515625" style="36" customWidth="1"/>
    <col min="9744" max="9744" width="8.5703125" style="36" customWidth="1"/>
    <col min="9745" max="9746" width="0.42578125" style="36" customWidth="1"/>
    <col min="9747" max="9747" width="9.140625" style="36" customWidth="1"/>
    <col min="9748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2.85546875" style="36" customWidth="1"/>
    <col min="9989" max="9989" width="11.42578125" style="36" customWidth="1"/>
    <col min="9990" max="9990" width="2.85546875" style="36" customWidth="1"/>
    <col min="9991" max="9991" width="7.5703125" style="36" customWidth="1"/>
    <col min="9992" max="9992" width="2.85546875" style="36" customWidth="1"/>
    <col min="9993" max="9993" width="10" style="36" customWidth="1"/>
    <col min="9994" max="9994" width="2.85546875" style="36" customWidth="1"/>
    <col min="9995" max="9995" width="11.42578125" style="36" customWidth="1"/>
    <col min="9996" max="9996" width="2.85546875" style="36" customWidth="1"/>
    <col min="9997" max="9997" width="11.42578125" style="36" customWidth="1"/>
    <col min="9998" max="9998" width="2.85546875" style="36" customWidth="1"/>
    <col min="9999" max="9999" width="8.28515625" style="36" customWidth="1"/>
    <col min="10000" max="10000" width="8.5703125" style="36" customWidth="1"/>
    <col min="10001" max="10002" width="0.42578125" style="36" customWidth="1"/>
    <col min="10003" max="10003" width="9.140625" style="36" customWidth="1"/>
    <col min="10004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2.85546875" style="36" customWidth="1"/>
    <col min="10245" max="10245" width="11.42578125" style="36" customWidth="1"/>
    <col min="10246" max="10246" width="2.85546875" style="36" customWidth="1"/>
    <col min="10247" max="10247" width="7.5703125" style="36" customWidth="1"/>
    <col min="10248" max="10248" width="2.85546875" style="36" customWidth="1"/>
    <col min="10249" max="10249" width="10" style="36" customWidth="1"/>
    <col min="10250" max="10250" width="2.85546875" style="36" customWidth="1"/>
    <col min="10251" max="10251" width="11.42578125" style="36" customWidth="1"/>
    <col min="10252" max="10252" width="2.85546875" style="36" customWidth="1"/>
    <col min="10253" max="10253" width="11.42578125" style="36" customWidth="1"/>
    <col min="10254" max="10254" width="2.85546875" style="36" customWidth="1"/>
    <col min="10255" max="10255" width="8.28515625" style="36" customWidth="1"/>
    <col min="10256" max="10256" width="8.5703125" style="36" customWidth="1"/>
    <col min="10257" max="10258" width="0.42578125" style="36" customWidth="1"/>
    <col min="10259" max="10259" width="9.140625" style="36" customWidth="1"/>
    <col min="10260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2.85546875" style="36" customWidth="1"/>
    <col min="10501" max="10501" width="11.42578125" style="36" customWidth="1"/>
    <col min="10502" max="10502" width="2.85546875" style="36" customWidth="1"/>
    <col min="10503" max="10503" width="7.5703125" style="36" customWidth="1"/>
    <col min="10504" max="10504" width="2.85546875" style="36" customWidth="1"/>
    <col min="10505" max="10505" width="10" style="36" customWidth="1"/>
    <col min="10506" max="10506" width="2.85546875" style="36" customWidth="1"/>
    <col min="10507" max="10507" width="11.42578125" style="36" customWidth="1"/>
    <col min="10508" max="10508" width="2.85546875" style="36" customWidth="1"/>
    <col min="10509" max="10509" width="11.42578125" style="36" customWidth="1"/>
    <col min="10510" max="10510" width="2.85546875" style="36" customWidth="1"/>
    <col min="10511" max="10511" width="8.28515625" style="36" customWidth="1"/>
    <col min="10512" max="10512" width="8.5703125" style="36" customWidth="1"/>
    <col min="10513" max="10514" width="0.42578125" style="36" customWidth="1"/>
    <col min="10515" max="10515" width="9.140625" style="36" customWidth="1"/>
    <col min="10516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2.85546875" style="36" customWidth="1"/>
    <col min="10757" max="10757" width="11.42578125" style="36" customWidth="1"/>
    <col min="10758" max="10758" width="2.85546875" style="36" customWidth="1"/>
    <col min="10759" max="10759" width="7.5703125" style="36" customWidth="1"/>
    <col min="10760" max="10760" width="2.85546875" style="36" customWidth="1"/>
    <col min="10761" max="10761" width="10" style="36" customWidth="1"/>
    <col min="10762" max="10762" width="2.85546875" style="36" customWidth="1"/>
    <col min="10763" max="10763" width="11.42578125" style="36" customWidth="1"/>
    <col min="10764" max="10764" width="2.85546875" style="36" customWidth="1"/>
    <col min="10765" max="10765" width="11.42578125" style="36" customWidth="1"/>
    <col min="10766" max="10766" width="2.85546875" style="36" customWidth="1"/>
    <col min="10767" max="10767" width="8.28515625" style="36" customWidth="1"/>
    <col min="10768" max="10768" width="8.5703125" style="36" customWidth="1"/>
    <col min="10769" max="10770" width="0.42578125" style="36" customWidth="1"/>
    <col min="10771" max="10771" width="9.140625" style="36" customWidth="1"/>
    <col min="10772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2.85546875" style="36" customWidth="1"/>
    <col min="11013" max="11013" width="11.42578125" style="36" customWidth="1"/>
    <col min="11014" max="11014" width="2.85546875" style="36" customWidth="1"/>
    <col min="11015" max="11015" width="7.5703125" style="36" customWidth="1"/>
    <col min="11016" max="11016" width="2.85546875" style="36" customWidth="1"/>
    <col min="11017" max="11017" width="10" style="36" customWidth="1"/>
    <col min="11018" max="11018" width="2.85546875" style="36" customWidth="1"/>
    <col min="11019" max="11019" width="11.42578125" style="36" customWidth="1"/>
    <col min="11020" max="11020" width="2.85546875" style="36" customWidth="1"/>
    <col min="11021" max="11021" width="11.42578125" style="36" customWidth="1"/>
    <col min="11022" max="11022" width="2.85546875" style="36" customWidth="1"/>
    <col min="11023" max="11023" width="8.28515625" style="36" customWidth="1"/>
    <col min="11024" max="11024" width="8.5703125" style="36" customWidth="1"/>
    <col min="11025" max="11026" width="0.42578125" style="36" customWidth="1"/>
    <col min="11027" max="11027" width="9.140625" style="36" customWidth="1"/>
    <col min="11028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2.85546875" style="36" customWidth="1"/>
    <col min="11269" max="11269" width="11.42578125" style="36" customWidth="1"/>
    <col min="11270" max="11270" width="2.85546875" style="36" customWidth="1"/>
    <col min="11271" max="11271" width="7.5703125" style="36" customWidth="1"/>
    <col min="11272" max="11272" width="2.85546875" style="36" customWidth="1"/>
    <col min="11273" max="11273" width="10" style="36" customWidth="1"/>
    <col min="11274" max="11274" width="2.85546875" style="36" customWidth="1"/>
    <col min="11275" max="11275" width="11.42578125" style="36" customWidth="1"/>
    <col min="11276" max="11276" width="2.85546875" style="36" customWidth="1"/>
    <col min="11277" max="11277" width="11.42578125" style="36" customWidth="1"/>
    <col min="11278" max="11278" width="2.85546875" style="36" customWidth="1"/>
    <col min="11279" max="11279" width="8.28515625" style="36" customWidth="1"/>
    <col min="11280" max="11280" width="8.5703125" style="36" customWidth="1"/>
    <col min="11281" max="11282" width="0.42578125" style="36" customWidth="1"/>
    <col min="11283" max="11283" width="9.140625" style="36" customWidth="1"/>
    <col min="11284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2.85546875" style="36" customWidth="1"/>
    <col min="11525" max="11525" width="11.42578125" style="36" customWidth="1"/>
    <col min="11526" max="11526" width="2.85546875" style="36" customWidth="1"/>
    <col min="11527" max="11527" width="7.5703125" style="36" customWidth="1"/>
    <col min="11528" max="11528" width="2.85546875" style="36" customWidth="1"/>
    <col min="11529" max="11529" width="10" style="36" customWidth="1"/>
    <col min="11530" max="11530" width="2.85546875" style="36" customWidth="1"/>
    <col min="11531" max="11531" width="11.42578125" style="36" customWidth="1"/>
    <col min="11532" max="11532" width="2.85546875" style="36" customWidth="1"/>
    <col min="11533" max="11533" width="11.42578125" style="36" customWidth="1"/>
    <col min="11534" max="11534" width="2.85546875" style="36" customWidth="1"/>
    <col min="11535" max="11535" width="8.28515625" style="36" customWidth="1"/>
    <col min="11536" max="11536" width="8.5703125" style="36" customWidth="1"/>
    <col min="11537" max="11538" width="0.42578125" style="36" customWidth="1"/>
    <col min="11539" max="11539" width="9.140625" style="36" customWidth="1"/>
    <col min="11540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2.85546875" style="36" customWidth="1"/>
    <col min="11781" max="11781" width="11.42578125" style="36" customWidth="1"/>
    <col min="11782" max="11782" width="2.85546875" style="36" customWidth="1"/>
    <col min="11783" max="11783" width="7.5703125" style="36" customWidth="1"/>
    <col min="11784" max="11784" width="2.85546875" style="36" customWidth="1"/>
    <col min="11785" max="11785" width="10" style="36" customWidth="1"/>
    <col min="11786" max="11786" width="2.85546875" style="36" customWidth="1"/>
    <col min="11787" max="11787" width="11.42578125" style="36" customWidth="1"/>
    <col min="11788" max="11788" width="2.85546875" style="36" customWidth="1"/>
    <col min="11789" max="11789" width="11.42578125" style="36" customWidth="1"/>
    <col min="11790" max="11790" width="2.85546875" style="36" customWidth="1"/>
    <col min="11791" max="11791" width="8.28515625" style="36" customWidth="1"/>
    <col min="11792" max="11792" width="8.5703125" style="36" customWidth="1"/>
    <col min="11793" max="11794" width="0.42578125" style="36" customWidth="1"/>
    <col min="11795" max="11795" width="9.140625" style="36" customWidth="1"/>
    <col min="11796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2.85546875" style="36" customWidth="1"/>
    <col min="12037" max="12037" width="11.42578125" style="36" customWidth="1"/>
    <col min="12038" max="12038" width="2.85546875" style="36" customWidth="1"/>
    <col min="12039" max="12039" width="7.5703125" style="36" customWidth="1"/>
    <col min="12040" max="12040" width="2.85546875" style="36" customWidth="1"/>
    <col min="12041" max="12041" width="10" style="36" customWidth="1"/>
    <col min="12042" max="12042" width="2.85546875" style="36" customWidth="1"/>
    <col min="12043" max="12043" width="11.42578125" style="36" customWidth="1"/>
    <col min="12044" max="12044" width="2.85546875" style="36" customWidth="1"/>
    <col min="12045" max="12045" width="11.42578125" style="36" customWidth="1"/>
    <col min="12046" max="12046" width="2.85546875" style="36" customWidth="1"/>
    <col min="12047" max="12047" width="8.28515625" style="36" customWidth="1"/>
    <col min="12048" max="12048" width="8.5703125" style="36" customWidth="1"/>
    <col min="12049" max="12050" width="0.42578125" style="36" customWidth="1"/>
    <col min="12051" max="12051" width="9.140625" style="36" customWidth="1"/>
    <col min="12052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2.85546875" style="36" customWidth="1"/>
    <col min="12293" max="12293" width="11.42578125" style="36" customWidth="1"/>
    <col min="12294" max="12294" width="2.85546875" style="36" customWidth="1"/>
    <col min="12295" max="12295" width="7.5703125" style="36" customWidth="1"/>
    <col min="12296" max="12296" width="2.85546875" style="36" customWidth="1"/>
    <col min="12297" max="12297" width="10" style="36" customWidth="1"/>
    <col min="12298" max="12298" width="2.85546875" style="36" customWidth="1"/>
    <col min="12299" max="12299" width="11.42578125" style="36" customWidth="1"/>
    <col min="12300" max="12300" width="2.85546875" style="36" customWidth="1"/>
    <col min="12301" max="12301" width="11.42578125" style="36" customWidth="1"/>
    <col min="12302" max="12302" width="2.85546875" style="36" customWidth="1"/>
    <col min="12303" max="12303" width="8.28515625" style="36" customWidth="1"/>
    <col min="12304" max="12304" width="8.5703125" style="36" customWidth="1"/>
    <col min="12305" max="12306" width="0.42578125" style="36" customWidth="1"/>
    <col min="12307" max="12307" width="9.140625" style="36" customWidth="1"/>
    <col min="12308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2.85546875" style="36" customWidth="1"/>
    <col min="12549" max="12549" width="11.42578125" style="36" customWidth="1"/>
    <col min="12550" max="12550" width="2.85546875" style="36" customWidth="1"/>
    <col min="12551" max="12551" width="7.5703125" style="36" customWidth="1"/>
    <col min="12552" max="12552" width="2.85546875" style="36" customWidth="1"/>
    <col min="12553" max="12553" width="10" style="36" customWidth="1"/>
    <col min="12554" max="12554" width="2.85546875" style="36" customWidth="1"/>
    <col min="12555" max="12555" width="11.42578125" style="36" customWidth="1"/>
    <col min="12556" max="12556" width="2.85546875" style="36" customWidth="1"/>
    <col min="12557" max="12557" width="11.42578125" style="36" customWidth="1"/>
    <col min="12558" max="12558" width="2.85546875" style="36" customWidth="1"/>
    <col min="12559" max="12559" width="8.28515625" style="36" customWidth="1"/>
    <col min="12560" max="12560" width="8.5703125" style="36" customWidth="1"/>
    <col min="12561" max="12562" width="0.42578125" style="36" customWidth="1"/>
    <col min="12563" max="12563" width="9.140625" style="36" customWidth="1"/>
    <col min="12564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2.85546875" style="36" customWidth="1"/>
    <col min="12805" max="12805" width="11.42578125" style="36" customWidth="1"/>
    <col min="12806" max="12806" width="2.85546875" style="36" customWidth="1"/>
    <col min="12807" max="12807" width="7.5703125" style="36" customWidth="1"/>
    <col min="12808" max="12808" width="2.85546875" style="36" customWidth="1"/>
    <col min="12809" max="12809" width="10" style="36" customWidth="1"/>
    <col min="12810" max="12810" width="2.85546875" style="36" customWidth="1"/>
    <col min="12811" max="12811" width="11.42578125" style="36" customWidth="1"/>
    <col min="12812" max="12812" width="2.85546875" style="36" customWidth="1"/>
    <col min="12813" max="12813" width="11.42578125" style="36" customWidth="1"/>
    <col min="12814" max="12814" width="2.85546875" style="36" customWidth="1"/>
    <col min="12815" max="12815" width="8.28515625" style="36" customWidth="1"/>
    <col min="12816" max="12816" width="8.5703125" style="36" customWidth="1"/>
    <col min="12817" max="12818" width="0.42578125" style="36" customWidth="1"/>
    <col min="12819" max="12819" width="9.140625" style="36" customWidth="1"/>
    <col min="12820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2.85546875" style="36" customWidth="1"/>
    <col min="13061" max="13061" width="11.42578125" style="36" customWidth="1"/>
    <col min="13062" max="13062" width="2.85546875" style="36" customWidth="1"/>
    <col min="13063" max="13063" width="7.5703125" style="36" customWidth="1"/>
    <col min="13064" max="13064" width="2.85546875" style="36" customWidth="1"/>
    <col min="13065" max="13065" width="10" style="36" customWidth="1"/>
    <col min="13066" max="13066" width="2.85546875" style="36" customWidth="1"/>
    <col min="13067" max="13067" width="11.42578125" style="36" customWidth="1"/>
    <col min="13068" max="13068" width="2.85546875" style="36" customWidth="1"/>
    <col min="13069" max="13069" width="11.42578125" style="36" customWidth="1"/>
    <col min="13070" max="13070" width="2.85546875" style="36" customWidth="1"/>
    <col min="13071" max="13071" width="8.28515625" style="36" customWidth="1"/>
    <col min="13072" max="13072" width="8.5703125" style="36" customWidth="1"/>
    <col min="13073" max="13074" width="0.42578125" style="36" customWidth="1"/>
    <col min="13075" max="13075" width="9.140625" style="36" customWidth="1"/>
    <col min="13076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2.85546875" style="36" customWidth="1"/>
    <col min="13317" max="13317" width="11.42578125" style="36" customWidth="1"/>
    <col min="13318" max="13318" width="2.85546875" style="36" customWidth="1"/>
    <col min="13319" max="13319" width="7.5703125" style="36" customWidth="1"/>
    <col min="13320" max="13320" width="2.85546875" style="36" customWidth="1"/>
    <col min="13321" max="13321" width="10" style="36" customWidth="1"/>
    <col min="13322" max="13322" width="2.85546875" style="36" customWidth="1"/>
    <col min="13323" max="13323" width="11.42578125" style="36" customWidth="1"/>
    <col min="13324" max="13324" width="2.85546875" style="36" customWidth="1"/>
    <col min="13325" max="13325" width="11.42578125" style="36" customWidth="1"/>
    <col min="13326" max="13326" width="2.85546875" style="36" customWidth="1"/>
    <col min="13327" max="13327" width="8.28515625" style="36" customWidth="1"/>
    <col min="13328" max="13328" width="8.5703125" style="36" customWidth="1"/>
    <col min="13329" max="13330" width="0.42578125" style="36" customWidth="1"/>
    <col min="13331" max="13331" width="9.140625" style="36" customWidth="1"/>
    <col min="13332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2.85546875" style="36" customWidth="1"/>
    <col min="13573" max="13573" width="11.42578125" style="36" customWidth="1"/>
    <col min="13574" max="13574" width="2.85546875" style="36" customWidth="1"/>
    <col min="13575" max="13575" width="7.5703125" style="36" customWidth="1"/>
    <col min="13576" max="13576" width="2.85546875" style="36" customWidth="1"/>
    <col min="13577" max="13577" width="10" style="36" customWidth="1"/>
    <col min="13578" max="13578" width="2.85546875" style="36" customWidth="1"/>
    <col min="13579" max="13579" width="11.42578125" style="36" customWidth="1"/>
    <col min="13580" max="13580" width="2.85546875" style="36" customWidth="1"/>
    <col min="13581" max="13581" width="11.42578125" style="36" customWidth="1"/>
    <col min="13582" max="13582" width="2.85546875" style="36" customWidth="1"/>
    <col min="13583" max="13583" width="8.28515625" style="36" customWidth="1"/>
    <col min="13584" max="13584" width="8.5703125" style="36" customWidth="1"/>
    <col min="13585" max="13586" width="0.42578125" style="36" customWidth="1"/>
    <col min="13587" max="13587" width="9.140625" style="36" customWidth="1"/>
    <col min="13588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2.85546875" style="36" customWidth="1"/>
    <col min="13829" max="13829" width="11.42578125" style="36" customWidth="1"/>
    <col min="13830" max="13830" width="2.85546875" style="36" customWidth="1"/>
    <col min="13831" max="13831" width="7.5703125" style="36" customWidth="1"/>
    <col min="13832" max="13832" width="2.85546875" style="36" customWidth="1"/>
    <col min="13833" max="13833" width="10" style="36" customWidth="1"/>
    <col min="13834" max="13834" width="2.85546875" style="36" customWidth="1"/>
    <col min="13835" max="13835" width="11.42578125" style="36" customWidth="1"/>
    <col min="13836" max="13836" width="2.85546875" style="36" customWidth="1"/>
    <col min="13837" max="13837" width="11.42578125" style="36" customWidth="1"/>
    <col min="13838" max="13838" width="2.85546875" style="36" customWidth="1"/>
    <col min="13839" max="13839" width="8.28515625" style="36" customWidth="1"/>
    <col min="13840" max="13840" width="8.5703125" style="36" customWidth="1"/>
    <col min="13841" max="13842" width="0.42578125" style="36" customWidth="1"/>
    <col min="13843" max="13843" width="9.140625" style="36" customWidth="1"/>
    <col min="13844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2.85546875" style="36" customWidth="1"/>
    <col min="14085" max="14085" width="11.42578125" style="36" customWidth="1"/>
    <col min="14086" max="14086" width="2.85546875" style="36" customWidth="1"/>
    <col min="14087" max="14087" width="7.5703125" style="36" customWidth="1"/>
    <col min="14088" max="14088" width="2.85546875" style="36" customWidth="1"/>
    <col min="14089" max="14089" width="10" style="36" customWidth="1"/>
    <col min="14090" max="14090" width="2.85546875" style="36" customWidth="1"/>
    <col min="14091" max="14091" width="11.42578125" style="36" customWidth="1"/>
    <col min="14092" max="14092" width="2.85546875" style="36" customWidth="1"/>
    <col min="14093" max="14093" width="11.42578125" style="36" customWidth="1"/>
    <col min="14094" max="14094" width="2.85546875" style="36" customWidth="1"/>
    <col min="14095" max="14095" width="8.28515625" style="36" customWidth="1"/>
    <col min="14096" max="14096" width="8.5703125" style="36" customWidth="1"/>
    <col min="14097" max="14098" width="0.42578125" style="36" customWidth="1"/>
    <col min="14099" max="14099" width="9.140625" style="36" customWidth="1"/>
    <col min="14100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2.85546875" style="36" customWidth="1"/>
    <col min="14341" max="14341" width="11.42578125" style="36" customWidth="1"/>
    <col min="14342" max="14342" width="2.85546875" style="36" customWidth="1"/>
    <col min="14343" max="14343" width="7.5703125" style="36" customWidth="1"/>
    <col min="14344" max="14344" width="2.85546875" style="36" customWidth="1"/>
    <col min="14345" max="14345" width="10" style="36" customWidth="1"/>
    <col min="14346" max="14346" width="2.85546875" style="36" customWidth="1"/>
    <col min="14347" max="14347" width="11.42578125" style="36" customWidth="1"/>
    <col min="14348" max="14348" width="2.85546875" style="36" customWidth="1"/>
    <col min="14349" max="14349" width="11.42578125" style="36" customWidth="1"/>
    <col min="14350" max="14350" width="2.85546875" style="36" customWidth="1"/>
    <col min="14351" max="14351" width="8.28515625" style="36" customWidth="1"/>
    <col min="14352" max="14352" width="8.5703125" style="36" customWidth="1"/>
    <col min="14353" max="14354" width="0.42578125" style="36" customWidth="1"/>
    <col min="14355" max="14355" width="9.140625" style="36" customWidth="1"/>
    <col min="14356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2.85546875" style="36" customWidth="1"/>
    <col min="14597" max="14597" width="11.42578125" style="36" customWidth="1"/>
    <col min="14598" max="14598" width="2.85546875" style="36" customWidth="1"/>
    <col min="14599" max="14599" width="7.5703125" style="36" customWidth="1"/>
    <col min="14600" max="14600" width="2.85546875" style="36" customWidth="1"/>
    <col min="14601" max="14601" width="10" style="36" customWidth="1"/>
    <col min="14602" max="14602" width="2.85546875" style="36" customWidth="1"/>
    <col min="14603" max="14603" width="11.42578125" style="36" customWidth="1"/>
    <col min="14604" max="14604" width="2.85546875" style="36" customWidth="1"/>
    <col min="14605" max="14605" width="11.42578125" style="36" customWidth="1"/>
    <col min="14606" max="14606" width="2.85546875" style="36" customWidth="1"/>
    <col min="14607" max="14607" width="8.28515625" style="36" customWidth="1"/>
    <col min="14608" max="14608" width="8.5703125" style="36" customWidth="1"/>
    <col min="14609" max="14610" width="0.42578125" style="36" customWidth="1"/>
    <col min="14611" max="14611" width="9.140625" style="36" customWidth="1"/>
    <col min="14612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2.85546875" style="36" customWidth="1"/>
    <col min="14853" max="14853" width="11.42578125" style="36" customWidth="1"/>
    <col min="14854" max="14854" width="2.85546875" style="36" customWidth="1"/>
    <col min="14855" max="14855" width="7.5703125" style="36" customWidth="1"/>
    <col min="14856" max="14856" width="2.85546875" style="36" customWidth="1"/>
    <col min="14857" max="14857" width="10" style="36" customWidth="1"/>
    <col min="14858" max="14858" width="2.85546875" style="36" customWidth="1"/>
    <col min="14859" max="14859" width="11.42578125" style="36" customWidth="1"/>
    <col min="14860" max="14860" width="2.85546875" style="36" customWidth="1"/>
    <col min="14861" max="14861" width="11.42578125" style="36" customWidth="1"/>
    <col min="14862" max="14862" width="2.85546875" style="36" customWidth="1"/>
    <col min="14863" max="14863" width="8.28515625" style="36" customWidth="1"/>
    <col min="14864" max="14864" width="8.5703125" style="36" customWidth="1"/>
    <col min="14865" max="14866" width="0.42578125" style="36" customWidth="1"/>
    <col min="14867" max="14867" width="9.140625" style="36" customWidth="1"/>
    <col min="14868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2.85546875" style="36" customWidth="1"/>
    <col min="15109" max="15109" width="11.42578125" style="36" customWidth="1"/>
    <col min="15110" max="15110" width="2.85546875" style="36" customWidth="1"/>
    <col min="15111" max="15111" width="7.5703125" style="36" customWidth="1"/>
    <col min="15112" max="15112" width="2.85546875" style="36" customWidth="1"/>
    <col min="15113" max="15113" width="10" style="36" customWidth="1"/>
    <col min="15114" max="15114" width="2.85546875" style="36" customWidth="1"/>
    <col min="15115" max="15115" width="11.42578125" style="36" customWidth="1"/>
    <col min="15116" max="15116" width="2.85546875" style="36" customWidth="1"/>
    <col min="15117" max="15117" width="11.42578125" style="36" customWidth="1"/>
    <col min="15118" max="15118" width="2.85546875" style="36" customWidth="1"/>
    <col min="15119" max="15119" width="8.28515625" style="36" customWidth="1"/>
    <col min="15120" max="15120" width="8.5703125" style="36" customWidth="1"/>
    <col min="15121" max="15122" width="0.42578125" style="36" customWidth="1"/>
    <col min="15123" max="15123" width="9.140625" style="36" customWidth="1"/>
    <col min="15124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2.85546875" style="36" customWidth="1"/>
    <col min="15365" max="15365" width="11.42578125" style="36" customWidth="1"/>
    <col min="15366" max="15366" width="2.85546875" style="36" customWidth="1"/>
    <col min="15367" max="15367" width="7.5703125" style="36" customWidth="1"/>
    <col min="15368" max="15368" width="2.85546875" style="36" customWidth="1"/>
    <col min="15369" max="15369" width="10" style="36" customWidth="1"/>
    <col min="15370" max="15370" width="2.85546875" style="36" customWidth="1"/>
    <col min="15371" max="15371" width="11.42578125" style="36" customWidth="1"/>
    <col min="15372" max="15372" width="2.85546875" style="36" customWidth="1"/>
    <col min="15373" max="15373" width="11.42578125" style="36" customWidth="1"/>
    <col min="15374" max="15374" width="2.85546875" style="36" customWidth="1"/>
    <col min="15375" max="15375" width="8.28515625" style="36" customWidth="1"/>
    <col min="15376" max="15376" width="8.5703125" style="36" customWidth="1"/>
    <col min="15377" max="15378" width="0.42578125" style="36" customWidth="1"/>
    <col min="15379" max="15379" width="9.140625" style="36" customWidth="1"/>
    <col min="15380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2.85546875" style="36" customWidth="1"/>
    <col min="15621" max="15621" width="11.42578125" style="36" customWidth="1"/>
    <col min="15622" max="15622" width="2.85546875" style="36" customWidth="1"/>
    <col min="15623" max="15623" width="7.5703125" style="36" customWidth="1"/>
    <col min="15624" max="15624" width="2.85546875" style="36" customWidth="1"/>
    <col min="15625" max="15625" width="10" style="36" customWidth="1"/>
    <col min="15626" max="15626" width="2.85546875" style="36" customWidth="1"/>
    <col min="15627" max="15627" width="11.42578125" style="36" customWidth="1"/>
    <col min="15628" max="15628" width="2.85546875" style="36" customWidth="1"/>
    <col min="15629" max="15629" width="11.42578125" style="36" customWidth="1"/>
    <col min="15630" max="15630" width="2.85546875" style="36" customWidth="1"/>
    <col min="15631" max="15631" width="8.28515625" style="36" customWidth="1"/>
    <col min="15632" max="15632" width="8.5703125" style="36" customWidth="1"/>
    <col min="15633" max="15634" width="0.42578125" style="36" customWidth="1"/>
    <col min="15635" max="15635" width="9.140625" style="36" customWidth="1"/>
    <col min="15636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2.85546875" style="36" customWidth="1"/>
    <col min="15877" max="15877" width="11.42578125" style="36" customWidth="1"/>
    <col min="15878" max="15878" width="2.85546875" style="36" customWidth="1"/>
    <col min="15879" max="15879" width="7.5703125" style="36" customWidth="1"/>
    <col min="15880" max="15880" width="2.85546875" style="36" customWidth="1"/>
    <col min="15881" max="15881" width="10" style="36" customWidth="1"/>
    <col min="15882" max="15882" width="2.85546875" style="36" customWidth="1"/>
    <col min="15883" max="15883" width="11.42578125" style="36" customWidth="1"/>
    <col min="15884" max="15884" width="2.85546875" style="36" customWidth="1"/>
    <col min="15885" max="15885" width="11.42578125" style="36" customWidth="1"/>
    <col min="15886" max="15886" width="2.85546875" style="36" customWidth="1"/>
    <col min="15887" max="15887" width="8.28515625" style="36" customWidth="1"/>
    <col min="15888" max="15888" width="8.5703125" style="36" customWidth="1"/>
    <col min="15889" max="15890" width="0.42578125" style="36" customWidth="1"/>
    <col min="15891" max="15891" width="9.140625" style="36" customWidth="1"/>
    <col min="15892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2.85546875" style="36" customWidth="1"/>
    <col min="16133" max="16133" width="11.42578125" style="36" customWidth="1"/>
    <col min="16134" max="16134" width="2.85546875" style="36" customWidth="1"/>
    <col min="16135" max="16135" width="7.5703125" style="36" customWidth="1"/>
    <col min="16136" max="16136" width="2.85546875" style="36" customWidth="1"/>
    <col min="16137" max="16137" width="10" style="36" customWidth="1"/>
    <col min="16138" max="16138" width="2.85546875" style="36" customWidth="1"/>
    <col min="16139" max="16139" width="11.42578125" style="36" customWidth="1"/>
    <col min="16140" max="16140" width="2.85546875" style="36" customWidth="1"/>
    <col min="16141" max="16141" width="11.42578125" style="36" customWidth="1"/>
    <col min="16142" max="16142" width="2.85546875" style="36" customWidth="1"/>
    <col min="16143" max="16143" width="8.28515625" style="36" customWidth="1"/>
    <col min="16144" max="16144" width="8.5703125" style="36" customWidth="1"/>
    <col min="16145" max="16146" width="0.42578125" style="36" customWidth="1"/>
    <col min="16147" max="16147" width="9.140625" style="36" customWidth="1"/>
    <col min="16148" max="16384" width="13.28515625" style="36"/>
  </cols>
  <sheetData>
    <row r="1" spans="3:17" ht="2.1" customHeight="1" x14ac:dyDescent="0.2">
      <c r="Q1" s="36" t="s">
        <v>46</v>
      </c>
    </row>
    <row r="2" spans="3:17" ht="19.899999999999999" customHeight="1" x14ac:dyDescent="0.2"/>
    <row r="3" spans="3:17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</row>
    <row r="4" spans="3:17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</row>
    <row r="5" spans="3:17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3:17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</row>
    <row r="7" spans="3:17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</row>
    <row r="8" spans="3:17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39"/>
    </row>
    <row r="9" spans="3:17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3:17" ht="21.6" customHeight="1" x14ac:dyDescent="0.3">
      <c r="C10" s="40" t="s">
        <v>85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1"/>
    </row>
    <row r="11" spans="3:17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3:17" ht="1.35" customHeight="1" x14ac:dyDescent="0.2"/>
    <row r="13" spans="3:17" ht="12.75" customHeight="1" x14ac:dyDescent="0.2"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</row>
    <row r="14" spans="3:17" ht="23.25" customHeight="1" x14ac:dyDescent="0.2">
      <c r="C14" s="61" t="s">
        <v>67</v>
      </c>
      <c r="D14" s="61"/>
      <c r="E14" s="61" t="s">
        <v>68</v>
      </c>
      <c r="F14" s="61"/>
      <c r="G14" s="61" t="s">
        <v>69</v>
      </c>
      <c r="H14" s="61"/>
      <c r="I14" s="61" t="s">
        <v>70</v>
      </c>
      <c r="J14" s="61"/>
      <c r="K14" s="61" t="s">
        <v>71</v>
      </c>
      <c r="L14" s="61"/>
      <c r="M14" s="61" t="s">
        <v>86</v>
      </c>
      <c r="N14" s="61"/>
      <c r="O14" s="61" t="s">
        <v>72</v>
      </c>
    </row>
    <row r="15" spans="3:17" ht="1.35" customHeight="1" x14ac:dyDescent="0.2"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</row>
    <row r="16" spans="3:17" ht="1.1499999999999999" customHeight="1" x14ac:dyDescent="0.2">
      <c r="C16" s="62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2"/>
    </row>
    <row r="17" spans="3:15" ht="10.9" customHeight="1" x14ac:dyDescent="0.2">
      <c r="C17" s="64">
        <v>40450</v>
      </c>
      <c r="D17" s="65"/>
      <c r="E17" s="66">
        <v>0</v>
      </c>
      <c r="F17" s="66"/>
      <c r="G17" s="67">
        <v>0</v>
      </c>
      <c r="H17" s="67"/>
      <c r="I17" s="66">
        <v>0</v>
      </c>
      <c r="J17" s="66"/>
      <c r="K17" s="66">
        <v>0</v>
      </c>
      <c r="L17" s="66"/>
      <c r="M17" s="66">
        <v>0</v>
      </c>
      <c r="N17" s="66"/>
      <c r="O17" s="68">
        <v>0</v>
      </c>
    </row>
    <row r="18" spans="3:15" ht="10.9" customHeight="1" x14ac:dyDescent="0.2">
      <c r="C18" s="64">
        <v>40756</v>
      </c>
      <c r="D18" s="65"/>
      <c r="E18" s="66">
        <v>0</v>
      </c>
      <c r="F18" s="66"/>
      <c r="G18" s="67">
        <v>0</v>
      </c>
      <c r="H18" s="67"/>
      <c r="I18" s="66">
        <v>22141.42</v>
      </c>
      <c r="J18" s="66"/>
      <c r="K18" s="66">
        <v>22141.42</v>
      </c>
      <c r="L18" s="66"/>
      <c r="M18" s="66">
        <v>22141.42</v>
      </c>
      <c r="N18" s="66"/>
      <c r="O18" s="68">
        <v>0</v>
      </c>
    </row>
    <row r="19" spans="3:15" ht="10.9" customHeight="1" x14ac:dyDescent="0.2">
      <c r="C19" s="64">
        <v>40940</v>
      </c>
      <c r="D19" s="65"/>
      <c r="E19" s="66">
        <v>0</v>
      </c>
      <c r="F19" s="66"/>
      <c r="G19" s="67">
        <v>0</v>
      </c>
      <c r="H19" s="67"/>
      <c r="I19" s="66">
        <v>13196.88</v>
      </c>
      <c r="J19" s="66"/>
      <c r="K19" s="66">
        <v>13196.88</v>
      </c>
      <c r="L19" s="66"/>
      <c r="M19" s="66">
        <v>13196.88</v>
      </c>
      <c r="N19" s="66"/>
      <c r="O19" s="68">
        <v>35338.300000000003</v>
      </c>
    </row>
    <row r="20" spans="3:15" ht="10.9" customHeight="1" x14ac:dyDescent="0.2">
      <c r="C20" s="64">
        <v>41122</v>
      </c>
      <c r="D20" s="65"/>
      <c r="E20" s="66">
        <v>0</v>
      </c>
      <c r="F20" s="66"/>
      <c r="G20" s="67">
        <v>0</v>
      </c>
      <c r="H20" s="67"/>
      <c r="I20" s="66">
        <v>13196.88</v>
      </c>
      <c r="J20" s="66"/>
      <c r="K20" s="66">
        <v>13196.88</v>
      </c>
      <c r="L20" s="66"/>
      <c r="M20" s="66">
        <v>13196.88</v>
      </c>
      <c r="N20" s="66"/>
      <c r="O20" s="68">
        <v>0</v>
      </c>
    </row>
    <row r="21" spans="3:15" ht="10.9" customHeight="1" x14ac:dyDescent="0.2">
      <c r="C21" s="64">
        <v>41306</v>
      </c>
      <c r="D21" s="64"/>
      <c r="E21" s="68">
        <v>60000</v>
      </c>
      <c r="F21" s="68"/>
      <c r="G21" s="69">
        <v>0.875</v>
      </c>
      <c r="H21" s="69"/>
      <c r="I21" s="68">
        <v>13196.88</v>
      </c>
      <c r="J21" s="68"/>
      <c r="K21" s="68">
        <v>73196.88</v>
      </c>
      <c r="L21" s="68"/>
      <c r="M21" s="68">
        <v>73196.88</v>
      </c>
      <c r="N21" s="68"/>
      <c r="O21" s="68">
        <v>86393.76</v>
      </c>
    </row>
    <row r="22" spans="3:15" ht="10.9" customHeight="1" x14ac:dyDescent="0.2">
      <c r="C22" s="64">
        <v>41487</v>
      </c>
      <c r="D22" s="65"/>
      <c r="E22" s="66">
        <v>0</v>
      </c>
      <c r="F22" s="66"/>
      <c r="G22" s="67">
        <v>0</v>
      </c>
      <c r="H22" s="67"/>
      <c r="I22" s="66">
        <v>12934.38</v>
      </c>
      <c r="J22" s="66"/>
      <c r="K22" s="66">
        <v>12934.38</v>
      </c>
      <c r="L22" s="66"/>
      <c r="M22" s="66">
        <v>12934.38</v>
      </c>
      <c r="N22" s="66"/>
      <c r="O22" s="68">
        <v>0</v>
      </c>
    </row>
    <row r="23" spans="3:15" ht="10.9" customHeight="1" x14ac:dyDescent="0.2">
      <c r="C23" s="64">
        <v>41671</v>
      </c>
      <c r="D23" s="65"/>
      <c r="E23" s="66">
        <v>60000</v>
      </c>
      <c r="F23" s="66"/>
      <c r="G23" s="67">
        <v>0.875</v>
      </c>
      <c r="H23" s="67"/>
      <c r="I23" s="66">
        <v>12934.38</v>
      </c>
      <c r="J23" s="66"/>
      <c r="K23" s="66">
        <v>72934.38</v>
      </c>
      <c r="L23" s="66"/>
      <c r="M23" s="66">
        <v>72934.38</v>
      </c>
      <c r="N23" s="66"/>
      <c r="O23" s="68">
        <v>85868.76</v>
      </c>
    </row>
    <row r="24" spans="3:15" ht="10.9" customHeight="1" x14ac:dyDescent="0.2">
      <c r="C24" s="64">
        <v>41852</v>
      </c>
      <c r="D24" s="65"/>
      <c r="E24" s="66">
        <v>0</v>
      </c>
      <c r="F24" s="66"/>
      <c r="G24" s="67">
        <v>0</v>
      </c>
      <c r="H24" s="67"/>
      <c r="I24" s="66">
        <v>12671.88</v>
      </c>
      <c r="J24" s="66"/>
      <c r="K24" s="66">
        <v>12671.88</v>
      </c>
      <c r="L24" s="66"/>
      <c r="M24" s="66">
        <v>12671.88</v>
      </c>
      <c r="N24" s="66"/>
      <c r="O24" s="68">
        <v>0</v>
      </c>
    </row>
    <row r="25" spans="3:15" ht="10.9" customHeight="1" x14ac:dyDescent="0.2">
      <c r="C25" s="64">
        <v>42036</v>
      </c>
      <c r="D25" s="65"/>
      <c r="E25" s="66">
        <v>60000</v>
      </c>
      <c r="F25" s="66"/>
      <c r="G25" s="67">
        <v>1.375</v>
      </c>
      <c r="H25" s="67"/>
      <c r="I25" s="66">
        <v>12671.88</v>
      </c>
      <c r="J25" s="66"/>
      <c r="K25" s="66">
        <v>72671.88</v>
      </c>
      <c r="L25" s="66"/>
      <c r="M25" s="66">
        <v>72671.88</v>
      </c>
      <c r="N25" s="66"/>
      <c r="O25" s="68">
        <v>85343.76</v>
      </c>
    </row>
    <row r="26" spans="3:15" ht="10.9" customHeight="1" x14ac:dyDescent="0.2">
      <c r="C26" s="64">
        <v>42217</v>
      </c>
      <c r="D26" s="64"/>
      <c r="E26" s="68">
        <v>0</v>
      </c>
      <c r="F26" s="68"/>
      <c r="G26" s="69">
        <v>0</v>
      </c>
      <c r="H26" s="69"/>
      <c r="I26" s="68">
        <v>12259.38</v>
      </c>
      <c r="J26" s="68"/>
      <c r="K26" s="68">
        <v>12259.38</v>
      </c>
      <c r="L26" s="68"/>
      <c r="M26" s="68">
        <v>12259.38</v>
      </c>
      <c r="N26" s="68"/>
      <c r="O26" s="68">
        <v>0</v>
      </c>
    </row>
    <row r="27" spans="3:15" ht="10.9" customHeight="1" x14ac:dyDescent="0.2">
      <c r="C27" s="64">
        <v>42401</v>
      </c>
      <c r="D27" s="65"/>
      <c r="E27" s="66">
        <v>60000</v>
      </c>
      <c r="F27" s="66"/>
      <c r="G27" s="67">
        <v>1.375</v>
      </c>
      <c r="H27" s="67"/>
      <c r="I27" s="66">
        <v>12259.38</v>
      </c>
      <c r="J27" s="66"/>
      <c r="K27" s="66">
        <v>72259.38</v>
      </c>
      <c r="L27" s="66"/>
      <c r="M27" s="66">
        <v>72259.38</v>
      </c>
      <c r="N27" s="66"/>
      <c r="O27" s="68">
        <v>84518.76</v>
      </c>
    </row>
    <row r="28" spans="3:15" ht="10.9" customHeight="1" x14ac:dyDescent="0.2">
      <c r="C28" s="64">
        <v>42583</v>
      </c>
      <c r="D28" s="65"/>
      <c r="E28" s="66">
        <v>0</v>
      </c>
      <c r="F28" s="66"/>
      <c r="G28" s="67">
        <v>0</v>
      </c>
      <c r="H28" s="67"/>
      <c r="I28" s="66">
        <v>11846.88</v>
      </c>
      <c r="J28" s="66"/>
      <c r="K28" s="66">
        <v>11846.88</v>
      </c>
      <c r="L28" s="66"/>
      <c r="M28" s="66">
        <v>11846.88</v>
      </c>
      <c r="N28" s="66"/>
      <c r="O28" s="68">
        <v>0</v>
      </c>
    </row>
    <row r="29" spans="3:15" ht="10.9" customHeight="1" x14ac:dyDescent="0.2">
      <c r="C29" s="64">
        <v>42767</v>
      </c>
      <c r="D29" s="65"/>
      <c r="E29" s="66">
        <v>60000</v>
      </c>
      <c r="F29" s="66"/>
      <c r="G29" s="67">
        <v>1.875</v>
      </c>
      <c r="H29" s="67"/>
      <c r="I29" s="66">
        <v>11846.88</v>
      </c>
      <c r="J29" s="66"/>
      <c r="K29" s="66">
        <v>71846.880000000005</v>
      </c>
      <c r="L29" s="66"/>
      <c r="M29" s="66">
        <v>71846.880000000005</v>
      </c>
      <c r="N29" s="66"/>
      <c r="O29" s="68">
        <v>83693.759999999995</v>
      </c>
    </row>
    <row r="30" spans="3:15" ht="10.9" customHeight="1" x14ac:dyDescent="0.2">
      <c r="C30" s="64">
        <v>42948</v>
      </c>
      <c r="D30" s="65"/>
      <c r="E30" s="66">
        <v>0</v>
      </c>
      <c r="F30" s="66"/>
      <c r="G30" s="67">
        <v>0</v>
      </c>
      <c r="H30" s="67"/>
      <c r="I30" s="66">
        <v>11284.38</v>
      </c>
      <c r="J30" s="66"/>
      <c r="K30" s="66">
        <v>11284.38</v>
      </c>
      <c r="L30" s="66"/>
      <c r="M30" s="66">
        <v>11284.38</v>
      </c>
      <c r="N30" s="66"/>
      <c r="O30" s="68">
        <v>0</v>
      </c>
    </row>
    <row r="31" spans="3:15" ht="10.9" customHeight="1" x14ac:dyDescent="0.2">
      <c r="C31" s="64">
        <v>43132</v>
      </c>
      <c r="D31" s="64"/>
      <c r="E31" s="68">
        <v>60000</v>
      </c>
      <c r="F31" s="68"/>
      <c r="G31" s="69">
        <v>1.875</v>
      </c>
      <c r="H31" s="69"/>
      <c r="I31" s="68">
        <v>11284.38</v>
      </c>
      <c r="J31" s="68"/>
      <c r="K31" s="68">
        <v>71284.38</v>
      </c>
      <c r="L31" s="68"/>
      <c r="M31" s="68">
        <v>71284.38</v>
      </c>
      <c r="N31" s="68"/>
      <c r="O31" s="68">
        <v>82568.759999999995</v>
      </c>
    </row>
    <row r="32" spans="3:15" ht="10.9" customHeight="1" x14ac:dyDescent="0.2">
      <c r="C32" s="64">
        <v>43313</v>
      </c>
      <c r="D32" s="65"/>
      <c r="E32" s="66">
        <v>0</v>
      </c>
      <c r="F32" s="66"/>
      <c r="G32" s="67">
        <v>0</v>
      </c>
      <c r="H32" s="67"/>
      <c r="I32" s="66">
        <v>10721.88</v>
      </c>
      <c r="J32" s="66"/>
      <c r="K32" s="66">
        <v>10721.88</v>
      </c>
      <c r="L32" s="66"/>
      <c r="M32" s="66">
        <v>10721.88</v>
      </c>
      <c r="N32" s="66"/>
      <c r="O32" s="68">
        <v>0</v>
      </c>
    </row>
    <row r="33" spans="3:15" ht="10.9" customHeight="1" x14ac:dyDescent="0.2">
      <c r="C33" s="64">
        <v>43497</v>
      </c>
      <c r="D33" s="65"/>
      <c r="E33" s="66">
        <v>60000</v>
      </c>
      <c r="F33" s="66"/>
      <c r="G33" s="67">
        <v>2.375</v>
      </c>
      <c r="H33" s="67"/>
      <c r="I33" s="66">
        <v>10721.88</v>
      </c>
      <c r="J33" s="66"/>
      <c r="K33" s="66">
        <v>70721.88</v>
      </c>
      <c r="L33" s="66"/>
      <c r="M33" s="66">
        <v>70721.88</v>
      </c>
      <c r="N33" s="66"/>
      <c r="O33" s="68">
        <v>81443.759999999995</v>
      </c>
    </row>
    <row r="34" spans="3:15" ht="10.9" customHeight="1" x14ac:dyDescent="0.2">
      <c r="C34" s="64">
        <v>43678</v>
      </c>
      <c r="D34" s="65"/>
      <c r="E34" s="66">
        <v>0</v>
      </c>
      <c r="F34" s="66"/>
      <c r="G34" s="67">
        <v>0</v>
      </c>
      <c r="H34" s="67"/>
      <c r="I34" s="66">
        <v>10009.379999999999</v>
      </c>
      <c r="J34" s="66"/>
      <c r="K34" s="66">
        <v>10009.379999999999</v>
      </c>
      <c r="L34" s="66"/>
      <c r="M34" s="66">
        <v>10009.379999999999</v>
      </c>
      <c r="N34" s="66"/>
      <c r="O34" s="68">
        <v>0</v>
      </c>
    </row>
    <row r="35" spans="3:15" ht="10.9" customHeight="1" x14ac:dyDescent="0.2">
      <c r="C35" s="64">
        <v>43862</v>
      </c>
      <c r="D35" s="65"/>
      <c r="E35" s="66">
        <v>60000</v>
      </c>
      <c r="F35" s="66"/>
      <c r="G35" s="67">
        <v>2.375</v>
      </c>
      <c r="H35" s="67"/>
      <c r="I35" s="66">
        <v>10009.379999999999</v>
      </c>
      <c r="J35" s="66"/>
      <c r="K35" s="66">
        <v>70009.38</v>
      </c>
      <c r="L35" s="66"/>
      <c r="M35" s="66">
        <v>70009.38</v>
      </c>
      <c r="N35" s="66"/>
      <c r="O35" s="68">
        <v>80018.759999999995</v>
      </c>
    </row>
    <row r="36" spans="3:15" ht="10.9" customHeight="1" x14ac:dyDescent="0.2">
      <c r="C36" s="64">
        <v>44044</v>
      </c>
      <c r="D36" s="64"/>
      <c r="E36" s="68">
        <v>0</v>
      </c>
      <c r="F36" s="68"/>
      <c r="G36" s="69">
        <v>0</v>
      </c>
      <c r="H36" s="69"/>
      <c r="I36" s="68">
        <v>9296.8799999999992</v>
      </c>
      <c r="J36" s="68"/>
      <c r="K36" s="68">
        <v>9296.8799999999992</v>
      </c>
      <c r="L36" s="68"/>
      <c r="M36" s="68">
        <v>9296.8799999999992</v>
      </c>
      <c r="N36" s="68"/>
      <c r="O36" s="68">
        <v>0</v>
      </c>
    </row>
    <row r="37" spans="3:15" ht="10.9" customHeight="1" x14ac:dyDescent="0.2">
      <c r="C37" s="64">
        <v>44228</v>
      </c>
      <c r="D37" s="65"/>
      <c r="E37" s="66">
        <v>60000</v>
      </c>
      <c r="F37" s="66"/>
      <c r="G37" s="67">
        <v>2.625</v>
      </c>
      <c r="H37" s="67"/>
      <c r="I37" s="66">
        <v>9296.8799999999992</v>
      </c>
      <c r="J37" s="66"/>
      <c r="K37" s="66">
        <v>69296.88</v>
      </c>
      <c r="L37" s="66"/>
      <c r="M37" s="66">
        <v>69296.88</v>
      </c>
      <c r="N37" s="66"/>
      <c r="O37" s="68">
        <v>78593.759999999995</v>
      </c>
    </row>
    <row r="38" spans="3:15" ht="10.9" customHeight="1" x14ac:dyDescent="0.2">
      <c r="C38" s="64">
        <v>44409</v>
      </c>
      <c r="D38" s="65"/>
      <c r="E38" s="66">
        <v>0</v>
      </c>
      <c r="F38" s="66"/>
      <c r="G38" s="67">
        <v>0</v>
      </c>
      <c r="H38" s="67"/>
      <c r="I38" s="66">
        <v>8509.3799999999992</v>
      </c>
      <c r="J38" s="66"/>
      <c r="K38" s="66">
        <v>8509.3799999999992</v>
      </c>
      <c r="L38" s="66"/>
      <c r="M38" s="66">
        <v>8509.3799999999992</v>
      </c>
      <c r="N38" s="66"/>
      <c r="O38" s="68">
        <v>0</v>
      </c>
    </row>
    <row r="39" spans="3:15" ht="10.9" customHeight="1" x14ac:dyDescent="0.2">
      <c r="C39" s="64">
        <v>44593</v>
      </c>
      <c r="D39" s="65"/>
      <c r="E39" s="66">
        <v>55000</v>
      </c>
      <c r="F39" s="66"/>
      <c r="G39" s="67">
        <v>2.625</v>
      </c>
      <c r="H39" s="67"/>
      <c r="I39" s="66">
        <v>8509.3799999999992</v>
      </c>
      <c r="J39" s="66"/>
      <c r="K39" s="66">
        <v>63509.38</v>
      </c>
      <c r="L39" s="66"/>
      <c r="M39" s="66">
        <v>63509.38</v>
      </c>
      <c r="N39" s="66"/>
      <c r="O39" s="68">
        <v>72018.759999999995</v>
      </c>
    </row>
    <row r="40" spans="3:15" ht="10.9" customHeight="1" x14ac:dyDescent="0.2">
      <c r="C40" s="64">
        <v>44774</v>
      </c>
      <c r="D40" s="65"/>
      <c r="E40" s="66">
        <v>0</v>
      </c>
      <c r="F40" s="66"/>
      <c r="G40" s="67">
        <v>0</v>
      </c>
      <c r="H40" s="67"/>
      <c r="I40" s="66">
        <v>7787.5</v>
      </c>
      <c r="J40" s="66"/>
      <c r="K40" s="66">
        <v>7787.5</v>
      </c>
      <c r="L40" s="66"/>
      <c r="M40" s="66">
        <v>7787.5</v>
      </c>
      <c r="N40" s="66"/>
      <c r="O40" s="68">
        <v>0</v>
      </c>
    </row>
    <row r="41" spans="3:15" ht="10.9" customHeight="1" x14ac:dyDescent="0.2">
      <c r="C41" s="64">
        <v>44958</v>
      </c>
      <c r="D41" s="64"/>
      <c r="E41" s="68">
        <v>55000</v>
      </c>
      <c r="F41" s="68"/>
      <c r="G41" s="69">
        <v>3</v>
      </c>
      <c r="H41" s="69"/>
      <c r="I41" s="68">
        <v>7787.5</v>
      </c>
      <c r="J41" s="68"/>
      <c r="K41" s="68">
        <v>62787.5</v>
      </c>
      <c r="L41" s="68"/>
      <c r="M41" s="68">
        <v>62787.5</v>
      </c>
      <c r="N41" s="68"/>
      <c r="O41" s="68">
        <v>70575</v>
      </c>
    </row>
    <row r="42" spans="3:15" ht="10.9" customHeight="1" x14ac:dyDescent="0.2">
      <c r="C42" s="64">
        <v>45139</v>
      </c>
      <c r="D42" s="65"/>
      <c r="E42" s="66">
        <v>0</v>
      </c>
      <c r="F42" s="66"/>
      <c r="G42" s="67">
        <v>0</v>
      </c>
      <c r="H42" s="67"/>
      <c r="I42" s="66">
        <v>6962.5</v>
      </c>
      <c r="J42" s="66"/>
      <c r="K42" s="66">
        <v>6962.5</v>
      </c>
      <c r="L42" s="66"/>
      <c r="M42" s="66">
        <v>6962.5</v>
      </c>
      <c r="N42" s="66"/>
      <c r="O42" s="68">
        <v>0</v>
      </c>
    </row>
    <row r="43" spans="3:15" ht="10.9" customHeight="1" x14ac:dyDescent="0.2">
      <c r="C43" s="64">
        <v>45323</v>
      </c>
      <c r="D43" s="65"/>
      <c r="E43" s="66">
        <v>55000</v>
      </c>
      <c r="F43" s="66"/>
      <c r="G43" s="67">
        <v>3</v>
      </c>
      <c r="H43" s="67"/>
      <c r="I43" s="66">
        <v>6962.5</v>
      </c>
      <c r="J43" s="66"/>
      <c r="K43" s="66">
        <v>61962.5</v>
      </c>
      <c r="L43" s="66"/>
      <c r="M43" s="66">
        <v>61962.5</v>
      </c>
      <c r="N43" s="66"/>
      <c r="O43" s="68">
        <v>68925</v>
      </c>
    </row>
    <row r="44" spans="3:15" ht="10.9" customHeight="1" x14ac:dyDescent="0.2">
      <c r="C44" s="64">
        <v>45505</v>
      </c>
      <c r="D44" s="65"/>
      <c r="E44" s="66">
        <v>0</v>
      </c>
      <c r="F44" s="66"/>
      <c r="G44" s="67">
        <v>0</v>
      </c>
      <c r="H44" s="67"/>
      <c r="I44" s="66">
        <v>6137.5</v>
      </c>
      <c r="J44" s="66"/>
      <c r="K44" s="66">
        <v>6137.5</v>
      </c>
      <c r="L44" s="66"/>
      <c r="M44" s="66">
        <v>6137.5</v>
      </c>
      <c r="N44" s="66"/>
      <c r="O44" s="68">
        <v>0</v>
      </c>
    </row>
    <row r="45" spans="3:15" ht="10.9" customHeight="1" x14ac:dyDescent="0.2">
      <c r="C45" s="64">
        <v>45689</v>
      </c>
      <c r="D45" s="65"/>
      <c r="E45" s="66">
        <v>55000</v>
      </c>
      <c r="F45" s="66"/>
      <c r="G45" s="67">
        <v>3.25</v>
      </c>
      <c r="H45" s="67"/>
      <c r="I45" s="66">
        <v>6137.5</v>
      </c>
      <c r="J45" s="66"/>
      <c r="K45" s="66">
        <v>61137.5</v>
      </c>
      <c r="L45" s="66"/>
      <c r="M45" s="66">
        <v>61137.5</v>
      </c>
      <c r="N45" s="66"/>
      <c r="O45" s="68">
        <v>67275</v>
      </c>
    </row>
    <row r="46" spans="3:15" ht="10.9" customHeight="1" x14ac:dyDescent="0.2">
      <c r="C46" s="64">
        <v>45870</v>
      </c>
      <c r="D46" s="64"/>
      <c r="E46" s="68">
        <v>0</v>
      </c>
      <c r="F46" s="68"/>
      <c r="G46" s="69">
        <v>0</v>
      </c>
      <c r="H46" s="69"/>
      <c r="I46" s="68">
        <v>5243.75</v>
      </c>
      <c r="J46" s="68"/>
      <c r="K46" s="68">
        <v>5243.75</v>
      </c>
      <c r="L46" s="68"/>
      <c r="M46" s="68">
        <v>5243.75</v>
      </c>
      <c r="N46" s="68"/>
      <c r="O46" s="68">
        <v>0</v>
      </c>
    </row>
    <row r="47" spans="3:15" ht="10.9" customHeight="1" x14ac:dyDescent="0.2">
      <c r="C47" s="64">
        <v>46054</v>
      </c>
      <c r="D47" s="65"/>
      <c r="E47" s="66">
        <v>55000</v>
      </c>
      <c r="F47" s="66"/>
      <c r="G47" s="67">
        <v>3.25</v>
      </c>
      <c r="H47" s="67"/>
      <c r="I47" s="66">
        <v>5243.75</v>
      </c>
      <c r="J47" s="66"/>
      <c r="K47" s="66">
        <v>60243.75</v>
      </c>
      <c r="L47" s="66"/>
      <c r="M47" s="66">
        <v>60243.75</v>
      </c>
      <c r="N47" s="66"/>
      <c r="O47" s="68">
        <v>65487.5</v>
      </c>
    </row>
    <row r="48" spans="3:15" ht="10.9" customHeight="1" x14ac:dyDescent="0.2">
      <c r="C48" s="64">
        <v>46235</v>
      </c>
      <c r="D48" s="65"/>
      <c r="E48" s="66">
        <v>0</v>
      </c>
      <c r="F48" s="66"/>
      <c r="G48" s="67">
        <v>0</v>
      </c>
      <c r="H48" s="67"/>
      <c r="I48" s="66">
        <v>4350</v>
      </c>
      <c r="J48" s="66"/>
      <c r="K48" s="66">
        <v>4350</v>
      </c>
      <c r="L48" s="66"/>
      <c r="M48" s="66">
        <v>4350</v>
      </c>
      <c r="N48" s="66"/>
      <c r="O48" s="68">
        <v>0</v>
      </c>
    </row>
    <row r="49" spans="3:15" ht="10.9" customHeight="1" x14ac:dyDescent="0.2">
      <c r="C49" s="64">
        <v>46419</v>
      </c>
      <c r="D49" s="65"/>
      <c r="E49" s="66">
        <v>60000</v>
      </c>
      <c r="F49" s="66"/>
      <c r="G49" s="67">
        <v>3.5</v>
      </c>
      <c r="H49" s="67"/>
      <c r="I49" s="66">
        <v>4350</v>
      </c>
      <c r="J49" s="66"/>
      <c r="K49" s="66">
        <v>64350</v>
      </c>
      <c r="L49" s="66"/>
      <c r="M49" s="66">
        <v>64350</v>
      </c>
      <c r="N49" s="66"/>
      <c r="O49" s="68">
        <v>68700</v>
      </c>
    </row>
    <row r="50" spans="3:15" ht="10.9" customHeight="1" x14ac:dyDescent="0.2">
      <c r="C50" s="64">
        <v>46600</v>
      </c>
      <c r="D50" s="65"/>
      <c r="E50" s="66">
        <v>0</v>
      </c>
      <c r="F50" s="66"/>
      <c r="G50" s="67">
        <v>0</v>
      </c>
      <c r="H50" s="67"/>
      <c r="I50" s="66">
        <v>3300</v>
      </c>
      <c r="J50" s="66"/>
      <c r="K50" s="66">
        <v>3300</v>
      </c>
      <c r="L50" s="66"/>
      <c r="M50" s="66">
        <v>3300</v>
      </c>
      <c r="N50" s="66"/>
      <c r="O50" s="68">
        <v>0</v>
      </c>
    </row>
    <row r="51" spans="3:15" ht="10.9" customHeight="1" x14ac:dyDescent="0.2">
      <c r="C51" s="64">
        <v>46784</v>
      </c>
      <c r="D51" s="64"/>
      <c r="E51" s="68">
        <v>60000</v>
      </c>
      <c r="F51" s="68"/>
      <c r="G51" s="69">
        <v>3.5</v>
      </c>
      <c r="H51" s="69"/>
      <c r="I51" s="68">
        <v>3300</v>
      </c>
      <c r="J51" s="68"/>
      <c r="K51" s="68">
        <v>63300</v>
      </c>
      <c r="L51" s="68"/>
      <c r="M51" s="68">
        <v>63300</v>
      </c>
      <c r="N51" s="68"/>
      <c r="O51" s="68">
        <v>66600</v>
      </c>
    </row>
    <row r="52" spans="3:15" ht="10.9" customHeight="1" x14ac:dyDescent="0.2">
      <c r="C52" s="64">
        <v>46966</v>
      </c>
      <c r="D52" s="65"/>
      <c r="E52" s="66">
        <v>0</v>
      </c>
      <c r="F52" s="66"/>
      <c r="G52" s="67">
        <v>0</v>
      </c>
      <c r="H52" s="67"/>
      <c r="I52" s="66">
        <v>2250</v>
      </c>
      <c r="J52" s="66"/>
      <c r="K52" s="66">
        <v>2250</v>
      </c>
      <c r="L52" s="66"/>
      <c r="M52" s="66">
        <v>2250</v>
      </c>
      <c r="N52" s="66"/>
      <c r="O52" s="68">
        <v>0</v>
      </c>
    </row>
    <row r="53" spans="3:15" ht="10.9" customHeight="1" x14ac:dyDescent="0.2">
      <c r="C53" s="64">
        <v>47150</v>
      </c>
      <c r="D53" s="65"/>
      <c r="E53" s="66">
        <v>60000</v>
      </c>
      <c r="F53" s="66"/>
      <c r="G53" s="67">
        <v>3.75</v>
      </c>
      <c r="H53" s="67"/>
      <c r="I53" s="66">
        <v>2250</v>
      </c>
      <c r="J53" s="66"/>
      <c r="K53" s="66">
        <v>62250</v>
      </c>
      <c r="L53" s="66"/>
      <c r="M53" s="66">
        <v>62250</v>
      </c>
      <c r="N53" s="66"/>
      <c r="O53" s="68">
        <v>64500</v>
      </c>
    </row>
    <row r="54" spans="3:15" ht="10.9" customHeight="1" x14ac:dyDescent="0.2">
      <c r="C54" s="64">
        <v>47331</v>
      </c>
      <c r="D54" s="65"/>
      <c r="E54" s="66">
        <v>0</v>
      </c>
      <c r="F54" s="66"/>
      <c r="G54" s="67">
        <v>0</v>
      </c>
      <c r="H54" s="67"/>
      <c r="I54" s="66">
        <v>1125</v>
      </c>
      <c r="J54" s="66"/>
      <c r="K54" s="66">
        <v>1125</v>
      </c>
      <c r="L54" s="66"/>
      <c r="M54" s="66">
        <v>1125</v>
      </c>
      <c r="N54" s="66"/>
      <c r="O54" s="68">
        <v>0</v>
      </c>
    </row>
    <row r="55" spans="3:15" ht="10.9" customHeight="1" x14ac:dyDescent="0.2">
      <c r="C55" s="64">
        <v>47515</v>
      </c>
      <c r="D55" s="65"/>
      <c r="E55" s="66">
        <v>60000</v>
      </c>
      <c r="F55" s="66"/>
      <c r="G55" s="67">
        <v>3.75</v>
      </c>
      <c r="H55" s="67"/>
      <c r="I55" s="66">
        <v>1125</v>
      </c>
      <c r="J55" s="66"/>
      <c r="K55" s="66">
        <v>61125</v>
      </c>
      <c r="L55" s="66"/>
      <c r="M55" s="66">
        <v>61125</v>
      </c>
      <c r="N55" s="66"/>
      <c r="O55" s="68">
        <v>62250</v>
      </c>
    </row>
    <row r="56" spans="3:15" ht="1.35" customHeight="1" x14ac:dyDescent="0.2">
      <c r="C56" s="62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2"/>
    </row>
    <row r="57" spans="3:15" ht="1.35" customHeight="1" x14ac:dyDescent="0.2"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</row>
    <row r="58" spans="3:15" ht="12.75" customHeight="1" x14ac:dyDescent="0.2">
      <c r="C58" s="70">
        <v>0</v>
      </c>
      <c r="D58" s="70"/>
      <c r="E58" s="71">
        <v>1055000</v>
      </c>
      <c r="F58" s="71"/>
      <c r="G58" s="72">
        <v>0</v>
      </c>
      <c r="H58" s="72"/>
      <c r="I58" s="71">
        <v>335113.40000000002</v>
      </c>
      <c r="J58" s="71"/>
      <c r="K58" s="71">
        <v>1390113.4</v>
      </c>
      <c r="L58" s="71"/>
      <c r="M58" s="71">
        <v>1390113.4</v>
      </c>
      <c r="N58" s="71"/>
      <c r="O58" s="71">
        <v>0</v>
      </c>
    </row>
    <row r="59" spans="3:15" ht="1.35" customHeight="1" x14ac:dyDescent="0.2"/>
    <row r="60" spans="3:15" ht="33.950000000000003" customHeight="1" x14ac:dyDescent="0.2"/>
    <row r="61" spans="3:15" ht="48.6" customHeight="1" x14ac:dyDescent="0.2"/>
    <row r="62" spans="3:15" ht="12.75" customHeight="1" x14ac:dyDescent="0.2">
      <c r="C62" s="54" t="s">
        <v>63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</row>
    <row r="63" spans="3:15" ht="12.75" customHeight="1" x14ac:dyDescent="0.3"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3:15" ht="18.75" customHeight="1" x14ac:dyDescent="0.3">
      <c r="C64" s="56" t="s">
        <v>0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12.75" customHeight="1" x14ac:dyDescent="0.2">
      <c r="C65" s="57" t="s">
        <v>64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 t="s">
        <v>87</v>
      </c>
    </row>
    <row r="67" spans="1:15" ht="2.1" customHeight="1" x14ac:dyDescent="0.2">
      <c r="A67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Q54"/>
  <sheetViews>
    <sheetView showGridLines="0" tabSelected="1" zoomScaleNormal="100" workbookViewId="0">
      <selection activeCell="G17" sqref="G17"/>
    </sheetView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3.28515625" style="36" customWidth="1"/>
    <col min="5" max="5" width="12.140625" style="36" customWidth="1"/>
    <col min="6" max="6" width="3.28515625" style="36" customWidth="1"/>
    <col min="7" max="7" width="7.5703125" style="36" customWidth="1"/>
    <col min="8" max="8" width="3.28515625" style="36" customWidth="1"/>
    <col min="9" max="9" width="6.42578125" style="36" customWidth="1"/>
    <col min="10" max="10" width="3.28515625" style="36" customWidth="1"/>
    <col min="11" max="11" width="11.42578125" style="36" customWidth="1"/>
    <col min="12" max="12" width="3.28515625" style="36" customWidth="1"/>
    <col min="13" max="13" width="8.28515625" style="36" customWidth="1"/>
    <col min="14" max="14" width="3.28515625" style="36" customWidth="1"/>
    <col min="15" max="15" width="11.42578125" style="36" customWidth="1"/>
    <col min="16" max="16" width="8.5703125" style="36" customWidth="1"/>
    <col min="17" max="18" width="0.42578125" style="36" customWidth="1"/>
    <col min="19" max="19" width="9.140625" style="36" customWidth="1"/>
    <col min="20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3.28515625" style="36" customWidth="1"/>
    <col min="261" max="261" width="12.140625" style="36" customWidth="1"/>
    <col min="262" max="262" width="3.28515625" style="36" customWidth="1"/>
    <col min="263" max="263" width="7.5703125" style="36" customWidth="1"/>
    <col min="264" max="264" width="3.28515625" style="36" customWidth="1"/>
    <col min="265" max="265" width="6.42578125" style="36" customWidth="1"/>
    <col min="266" max="266" width="3.28515625" style="36" customWidth="1"/>
    <col min="267" max="267" width="11.42578125" style="36" customWidth="1"/>
    <col min="268" max="268" width="3.28515625" style="36" customWidth="1"/>
    <col min="269" max="269" width="8.28515625" style="36" customWidth="1"/>
    <col min="270" max="270" width="3.28515625" style="36" customWidth="1"/>
    <col min="271" max="271" width="11.42578125" style="36" customWidth="1"/>
    <col min="272" max="272" width="8.5703125" style="36" customWidth="1"/>
    <col min="273" max="274" width="0.42578125" style="36" customWidth="1"/>
    <col min="275" max="275" width="9.140625" style="36" customWidth="1"/>
    <col min="276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3.28515625" style="36" customWidth="1"/>
    <col min="517" max="517" width="12.140625" style="36" customWidth="1"/>
    <col min="518" max="518" width="3.28515625" style="36" customWidth="1"/>
    <col min="519" max="519" width="7.5703125" style="36" customWidth="1"/>
    <col min="520" max="520" width="3.28515625" style="36" customWidth="1"/>
    <col min="521" max="521" width="6.42578125" style="36" customWidth="1"/>
    <col min="522" max="522" width="3.28515625" style="36" customWidth="1"/>
    <col min="523" max="523" width="11.42578125" style="36" customWidth="1"/>
    <col min="524" max="524" width="3.28515625" style="36" customWidth="1"/>
    <col min="525" max="525" width="8.28515625" style="36" customWidth="1"/>
    <col min="526" max="526" width="3.28515625" style="36" customWidth="1"/>
    <col min="527" max="527" width="11.42578125" style="36" customWidth="1"/>
    <col min="528" max="528" width="8.5703125" style="36" customWidth="1"/>
    <col min="529" max="530" width="0.42578125" style="36" customWidth="1"/>
    <col min="531" max="531" width="9.140625" style="36" customWidth="1"/>
    <col min="532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3.28515625" style="36" customWidth="1"/>
    <col min="773" max="773" width="12.140625" style="36" customWidth="1"/>
    <col min="774" max="774" width="3.28515625" style="36" customWidth="1"/>
    <col min="775" max="775" width="7.5703125" style="36" customWidth="1"/>
    <col min="776" max="776" width="3.28515625" style="36" customWidth="1"/>
    <col min="777" max="777" width="6.42578125" style="36" customWidth="1"/>
    <col min="778" max="778" width="3.28515625" style="36" customWidth="1"/>
    <col min="779" max="779" width="11.42578125" style="36" customWidth="1"/>
    <col min="780" max="780" width="3.28515625" style="36" customWidth="1"/>
    <col min="781" max="781" width="8.28515625" style="36" customWidth="1"/>
    <col min="782" max="782" width="3.28515625" style="36" customWidth="1"/>
    <col min="783" max="783" width="11.42578125" style="36" customWidth="1"/>
    <col min="784" max="784" width="8.5703125" style="36" customWidth="1"/>
    <col min="785" max="786" width="0.42578125" style="36" customWidth="1"/>
    <col min="787" max="787" width="9.140625" style="36" customWidth="1"/>
    <col min="788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3.28515625" style="36" customWidth="1"/>
    <col min="1029" max="1029" width="12.140625" style="36" customWidth="1"/>
    <col min="1030" max="1030" width="3.28515625" style="36" customWidth="1"/>
    <col min="1031" max="1031" width="7.5703125" style="36" customWidth="1"/>
    <col min="1032" max="1032" width="3.28515625" style="36" customWidth="1"/>
    <col min="1033" max="1033" width="6.42578125" style="36" customWidth="1"/>
    <col min="1034" max="1034" width="3.28515625" style="36" customWidth="1"/>
    <col min="1035" max="1035" width="11.42578125" style="36" customWidth="1"/>
    <col min="1036" max="1036" width="3.28515625" style="36" customWidth="1"/>
    <col min="1037" max="1037" width="8.28515625" style="36" customWidth="1"/>
    <col min="1038" max="1038" width="3.28515625" style="36" customWidth="1"/>
    <col min="1039" max="1039" width="11.42578125" style="36" customWidth="1"/>
    <col min="1040" max="1040" width="8.5703125" style="36" customWidth="1"/>
    <col min="1041" max="1042" width="0.42578125" style="36" customWidth="1"/>
    <col min="1043" max="1043" width="9.140625" style="36" customWidth="1"/>
    <col min="1044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3.28515625" style="36" customWidth="1"/>
    <col min="1285" max="1285" width="12.140625" style="36" customWidth="1"/>
    <col min="1286" max="1286" width="3.28515625" style="36" customWidth="1"/>
    <col min="1287" max="1287" width="7.5703125" style="36" customWidth="1"/>
    <col min="1288" max="1288" width="3.28515625" style="36" customWidth="1"/>
    <col min="1289" max="1289" width="6.42578125" style="36" customWidth="1"/>
    <col min="1290" max="1290" width="3.28515625" style="36" customWidth="1"/>
    <col min="1291" max="1291" width="11.42578125" style="36" customWidth="1"/>
    <col min="1292" max="1292" width="3.28515625" style="36" customWidth="1"/>
    <col min="1293" max="1293" width="8.28515625" style="36" customWidth="1"/>
    <col min="1294" max="1294" width="3.28515625" style="36" customWidth="1"/>
    <col min="1295" max="1295" width="11.42578125" style="36" customWidth="1"/>
    <col min="1296" max="1296" width="8.5703125" style="36" customWidth="1"/>
    <col min="1297" max="1298" width="0.42578125" style="36" customWidth="1"/>
    <col min="1299" max="1299" width="9.140625" style="36" customWidth="1"/>
    <col min="1300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3.28515625" style="36" customWidth="1"/>
    <col min="1541" max="1541" width="12.140625" style="36" customWidth="1"/>
    <col min="1542" max="1542" width="3.28515625" style="36" customWidth="1"/>
    <col min="1543" max="1543" width="7.5703125" style="36" customWidth="1"/>
    <col min="1544" max="1544" width="3.28515625" style="36" customWidth="1"/>
    <col min="1545" max="1545" width="6.42578125" style="36" customWidth="1"/>
    <col min="1546" max="1546" width="3.28515625" style="36" customWidth="1"/>
    <col min="1547" max="1547" width="11.42578125" style="36" customWidth="1"/>
    <col min="1548" max="1548" width="3.28515625" style="36" customWidth="1"/>
    <col min="1549" max="1549" width="8.28515625" style="36" customWidth="1"/>
    <col min="1550" max="1550" width="3.28515625" style="36" customWidth="1"/>
    <col min="1551" max="1551" width="11.42578125" style="36" customWidth="1"/>
    <col min="1552" max="1552" width="8.5703125" style="36" customWidth="1"/>
    <col min="1553" max="1554" width="0.42578125" style="36" customWidth="1"/>
    <col min="1555" max="1555" width="9.140625" style="36" customWidth="1"/>
    <col min="1556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3.28515625" style="36" customWidth="1"/>
    <col min="1797" max="1797" width="12.140625" style="36" customWidth="1"/>
    <col min="1798" max="1798" width="3.28515625" style="36" customWidth="1"/>
    <col min="1799" max="1799" width="7.5703125" style="36" customWidth="1"/>
    <col min="1800" max="1800" width="3.28515625" style="36" customWidth="1"/>
    <col min="1801" max="1801" width="6.42578125" style="36" customWidth="1"/>
    <col min="1802" max="1802" width="3.28515625" style="36" customWidth="1"/>
    <col min="1803" max="1803" width="11.42578125" style="36" customWidth="1"/>
    <col min="1804" max="1804" width="3.28515625" style="36" customWidth="1"/>
    <col min="1805" max="1805" width="8.28515625" style="36" customWidth="1"/>
    <col min="1806" max="1806" width="3.28515625" style="36" customWidth="1"/>
    <col min="1807" max="1807" width="11.42578125" style="36" customWidth="1"/>
    <col min="1808" max="1808" width="8.5703125" style="36" customWidth="1"/>
    <col min="1809" max="1810" width="0.42578125" style="36" customWidth="1"/>
    <col min="1811" max="1811" width="9.140625" style="36" customWidth="1"/>
    <col min="1812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3.28515625" style="36" customWidth="1"/>
    <col min="2053" max="2053" width="12.140625" style="36" customWidth="1"/>
    <col min="2054" max="2054" width="3.28515625" style="36" customWidth="1"/>
    <col min="2055" max="2055" width="7.5703125" style="36" customWidth="1"/>
    <col min="2056" max="2056" width="3.28515625" style="36" customWidth="1"/>
    <col min="2057" max="2057" width="6.42578125" style="36" customWidth="1"/>
    <col min="2058" max="2058" width="3.28515625" style="36" customWidth="1"/>
    <col min="2059" max="2059" width="11.42578125" style="36" customWidth="1"/>
    <col min="2060" max="2060" width="3.28515625" style="36" customWidth="1"/>
    <col min="2061" max="2061" width="8.28515625" style="36" customWidth="1"/>
    <col min="2062" max="2062" width="3.28515625" style="36" customWidth="1"/>
    <col min="2063" max="2063" width="11.42578125" style="36" customWidth="1"/>
    <col min="2064" max="2064" width="8.5703125" style="36" customWidth="1"/>
    <col min="2065" max="2066" width="0.42578125" style="36" customWidth="1"/>
    <col min="2067" max="2067" width="9.140625" style="36" customWidth="1"/>
    <col min="2068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3.28515625" style="36" customWidth="1"/>
    <col min="2309" max="2309" width="12.140625" style="36" customWidth="1"/>
    <col min="2310" max="2310" width="3.28515625" style="36" customWidth="1"/>
    <col min="2311" max="2311" width="7.5703125" style="36" customWidth="1"/>
    <col min="2312" max="2312" width="3.28515625" style="36" customWidth="1"/>
    <col min="2313" max="2313" width="6.42578125" style="36" customWidth="1"/>
    <col min="2314" max="2314" width="3.28515625" style="36" customWidth="1"/>
    <col min="2315" max="2315" width="11.42578125" style="36" customWidth="1"/>
    <col min="2316" max="2316" width="3.28515625" style="36" customWidth="1"/>
    <col min="2317" max="2317" width="8.28515625" style="36" customWidth="1"/>
    <col min="2318" max="2318" width="3.28515625" style="36" customWidth="1"/>
    <col min="2319" max="2319" width="11.42578125" style="36" customWidth="1"/>
    <col min="2320" max="2320" width="8.5703125" style="36" customWidth="1"/>
    <col min="2321" max="2322" width="0.42578125" style="36" customWidth="1"/>
    <col min="2323" max="2323" width="9.140625" style="36" customWidth="1"/>
    <col min="2324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3.28515625" style="36" customWidth="1"/>
    <col min="2565" max="2565" width="12.140625" style="36" customWidth="1"/>
    <col min="2566" max="2566" width="3.28515625" style="36" customWidth="1"/>
    <col min="2567" max="2567" width="7.5703125" style="36" customWidth="1"/>
    <col min="2568" max="2568" width="3.28515625" style="36" customWidth="1"/>
    <col min="2569" max="2569" width="6.42578125" style="36" customWidth="1"/>
    <col min="2570" max="2570" width="3.28515625" style="36" customWidth="1"/>
    <col min="2571" max="2571" width="11.42578125" style="36" customWidth="1"/>
    <col min="2572" max="2572" width="3.28515625" style="36" customWidth="1"/>
    <col min="2573" max="2573" width="8.28515625" style="36" customWidth="1"/>
    <col min="2574" max="2574" width="3.28515625" style="36" customWidth="1"/>
    <col min="2575" max="2575" width="11.42578125" style="36" customWidth="1"/>
    <col min="2576" max="2576" width="8.5703125" style="36" customWidth="1"/>
    <col min="2577" max="2578" width="0.42578125" style="36" customWidth="1"/>
    <col min="2579" max="2579" width="9.140625" style="36" customWidth="1"/>
    <col min="2580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3.28515625" style="36" customWidth="1"/>
    <col min="2821" max="2821" width="12.140625" style="36" customWidth="1"/>
    <col min="2822" max="2822" width="3.28515625" style="36" customWidth="1"/>
    <col min="2823" max="2823" width="7.5703125" style="36" customWidth="1"/>
    <col min="2824" max="2824" width="3.28515625" style="36" customWidth="1"/>
    <col min="2825" max="2825" width="6.42578125" style="36" customWidth="1"/>
    <col min="2826" max="2826" width="3.28515625" style="36" customWidth="1"/>
    <col min="2827" max="2827" width="11.42578125" style="36" customWidth="1"/>
    <col min="2828" max="2828" width="3.28515625" style="36" customWidth="1"/>
    <col min="2829" max="2829" width="8.28515625" style="36" customWidth="1"/>
    <col min="2830" max="2830" width="3.28515625" style="36" customWidth="1"/>
    <col min="2831" max="2831" width="11.42578125" style="36" customWidth="1"/>
    <col min="2832" max="2832" width="8.5703125" style="36" customWidth="1"/>
    <col min="2833" max="2834" width="0.42578125" style="36" customWidth="1"/>
    <col min="2835" max="2835" width="9.140625" style="36" customWidth="1"/>
    <col min="2836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3.28515625" style="36" customWidth="1"/>
    <col min="3077" max="3077" width="12.140625" style="36" customWidth="1"/>
    <col min="3078" max="3078" width="3.28515625" style="36" customWidth="1"/>
    <col min="3079" max="3079" width="7.5703125" style="36" customWidth="1"/>
    <col min="3080" max="3080" width="3.28515625" style="36" customWidth="1"/>
    <col min="3081" max="3081" width="6.42578125" style="36" customWidth="1"/>
    <col min="3082" max="3082" width="3.28515625" style="36" customWidth="1"/>
    <col min="3083" max="3083" width="11.42578125" style="36" customWidth="1"/>
    <col min="3084" max="3084" width="3.28515625" style="36" customWidth="1"/>
    <col min="3085" max="3085" width="8.28515625" style="36" customWidth="1"/>
    <col min="3086" max="3086" width="3.28515625" style="36" customWidth="1"/>
    <col min="3087" max="3087" width="11.42578125" style="36" customWidth="1"/>
    <col min="3088" max="3088" width="8.5703125" style="36" customWidth="1"/>
    <col min="3089" max="3090" width="0.42578125" style="36" customWidth="1"/>
    <col min="3091" max="3091" width="9.140625" style="36" customWidth="1"/>
    <col min="3092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3.28515625" style="36" customWidth="1"/>
    <col min="3333" max="3333" width="12.140625" style="36" customWidth="1"/>
    <col min="3334" max="3334" width="3.28515625" style="36" customWidth="1"/>
    <col min="3335" max="3335" width="7.5703125" style="36" customWidth="1"/>
    <col min="3336" max="3336" width="3.28515625" style="36" customWidth="1"/>
    <col min="3337" max="3337" width="6.42578125" style="36" customWidth="1"/>
    <col min="3338" max="3338" width="3.28515625" style="36" customWidth="1"/>
    <col min="3339" max="3339" width="11.42578125" style="36" customWidth="1"/>
    <col min="3340" max="3340" width="3.28515625" style="36" customWidth="1"/>
    <col min="3341" max="3341" width="8.28515625" style="36" customWidth="1"/>
    <col min="3342" max="3342" width="3.28515625" style="36" customWidth="1"/>
    <col min="3343" max="3343" width="11.42578125" style="36" customWidth="1"/>
    <col min="3344" max="3344" width="8.5703125" style="36" customWidth="1"/>
    <col min="3345" max="3346" width="0.42578125" style="36" customWidth="1"/>
    <col min="3347" max="3347" width="9.140625" style="36" customWidth="1"/>
    <col min="3348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3.28515625" style="36" customWidth="1"/>
    <col min="3589" max="3589" width="12.140625" style="36" customWidth="1"/>
    <col min="3590" max="3590" width="3.28515625" style="36" customWidth="1"/>
    <col min="3591" max="3591" width="7.5703125" style="36" customWidth="1"/>
    <col min="3592" max="3592" width="3.28515625" style="36" customWidth="1"/>
    <col min="3593" max="3593" width="6.42578125" style="36" customWidth="1"/>
    <col min="3594" max="3594" width="3.28515625" style="36" customWidth="1"/>
    <col min="3595" max="3595" width="11.42578125" style="36" customWidth="1"/>
    <col min="3596" max="3596" width="3.28515625" style="36" customWidth="1"/>
    <col min="3597" max="3597" width="8.28515625" style="36" customWidth="1"/>
    <col min="3598" max="3598" width="3.28515625" style="36" customWidth="1"/>
    <col min="3599" max="3599" width="11.42578125" style="36" customWidth="1"/>
    <col min="3600" max="3600" width="8.5703125" style="36" customWidth="1"/>
    <col min="3601" max="3602" width="0.42578125" style="36" customWidth="1"/>
    <col min="3603" max="3603" width="9.140625" style="36" customWidth="1"/>
    <col min="3604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3.28515625" style="36" customWidth="1"/>
    <col min="3845" max="3845" width="12.140625" style="36" customWidth="1"/>
    <col min="3846" max="3846" width="3.28515625" style="36" customWidth="1"/>
    <col min="3847" max="3847" width="7.5703125" style="36" customWidth="1"/>
    <col min="3848" max="3848" width="3.28515625" style="36" customWidth="1"/>
    <col min="3849" max="3849" width="6.42578125" style="36" customWidth="1"/>
    <col min="3850" max="3850" width="3.28515625" style="36" customWidth="1"/>
    <col min="3851" max="3851" width="11.42578125" style="36" customWidth="1"/>
    <col min="3852" max="3852" width="3.28515625" style="36" customWidth="1"/>
    <col min="3853" max="3853" width="8.28515625" style="36" customWidth="1"/>
    <col min="3854" max="3854" width="3.28515625" style="36" customWidth="1"/>
    <col min="3855" max="3855" width="11.42578125" style="36" customWidth="1"/>
    <col min="3856" max="3856" width="8.5703125" style="36" customWidth="1"/>
    <col min="3857" max="3858" width="0.42578125" style="36" customWidth="1"/>
    <col min="3859" max="3859" width="9.140625" style="36" customWidth="1"/>
    <col min="3860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3.28515625" style="36" customWidth="1"/>
    <col min="4101" max="4101" width="12.140625" style="36" customWidth="1"/>
    <col min="4102" max="4102" width="3.28515625" style="36" customWidth="1"/>
    <col min="4103" max="4103" width="7.5703125" style="36" customWidth="1"/>
    <col min="4104" max="4104" width="3.28515625" style="36" customWidth="1"/>
    <col min="4105" max="4105" width="6.42578125" style="36" customWidth="1"/>
    <col min="4106" max="4106" width="3.28515625" style="36" customWidth="1"/>
    <col min="4107" max="4107" width="11.42578125" style="36" customWidth="1"/>
    <col min="4108" max="4108" width="3.28515625" style="36" customWidth="1"/>
    <col min="4109" max="4109" width="8.28515625" style="36" customWidth="1"/>
    <col min="4110" max="4110" width="3.28515625" style="36" customWidth="1"/>
    <col min="4111" max="4111" width="11.42578125" style="36" customWidth="1"/>
    <col min="4112" max="4112" width="8.5703125" style="36" customWidth="1"/>
    <col min="4113" max="4114" width="0.42578125" style="36" customWidth="1"/>
    <col min="4115" max="4115" width="9.140625" style="36" customWidth="1"/>
    <col min="4116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3.28515625" style="36" customWidth="1"/>
    <col min="4357" max="4357" width="12.140625" style="36" customWidth="1"/>
    <col min="4358" max="4358" width="3.28515625" style="36" customWidth="1"/>
    <col min="4359" max="4359" width="7.5703125" style="36" customWidth="1"/>
    <col min="4360" max="4360" width="3.28515625" style="36" customWidth="1"/>
    <col min="4361" max="4361" width="6.42578125" style="36" customWidth="1"/>
    <col min="4362" max="4362" width="3.28515625" style="36" customWidth="1"/>
    <col min="4363" max="4363" width="11.42578125" style="36" customWidth="1"/>
    <col min="4364" max="4364" width="3.28515625" style="36" customWidth="1"/>
    <col min="4365" max="4365" width="8.28515625" style="36" customWidth="1"/>
    <col min="4366" max="4366" width="3.28515625" style="36" customWidth="1"/>
    <col min="4367" max="4367" width="11.42578125" style="36" customWidth="1"/>
    <col min="4368" max="4368" width="8.5703125" style="36" customWidth="1"/>
    <col min="4369" max="4370" width="0.42578125" style="36" customWidth="1"/>
    <col min="4371" max="4371" width="9.140625" style="36" customWidth="1"/>
    <col min="4372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3.28515625" style="36" customWidth="1"/>
    <col min="4613" max="4613" width="12.140625" style="36" customWidth="1"/>
    <col min="4614" max="4614" width="3.28515625" style="36" customWidth="1"/>
    <col min="4615" max="4615" width="7.5703125" style="36" customWidth="1"/>
    <col min="4616" max="4616" width="3.28515625" style="36" customWidth="1"/>
    <col min="4617" max="4617" width="6.42578125" style="36" customWidth="1"/>
    <col min="4618" max="4618" width="3.28515625" style="36" customWidth="1"/>
    <col min="4619" max="4619" width="11.42578125" style="36" customWidth="1"/>
    <col min="4620" max="4620" width="3.28515625" style="36" customWidth="1"/>
    <col min="4621" max="4621" width="8.28515625" style="36" customWidth="1"/>
    <col min="4622" max="4622" width="3.28515625" style="36" customWidth="1"/>
    <col min="4623" max="4623" width="11.42578125" style="36" customWidth="1"/>
    <col min="4624" max="4624" width="8.5703125" style="36" customWidth="1"/>
    <col min="4625" max="4626" width="0.42578125" style="36" customWidth="1"/>
    <col min="4627" max="4627" width="9.140625" style="36" customWidth="1"/>
    <col min="4628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3.28515625" style="36" customWidth="1"/>
    <col min="4869" max="4869" width="12.140625" style="36" customWidth="1"/>
    <col min="4870" max="4870" width="3.28515625" style="36" customWidth="1"/>
    <col min="4871" max="4871" width="7.5703125" style="36" customWidth="1"/>
    <col min="4872" max="4872" width="3.28515625" style="36" customWidth="1"/>
    <col min="4873" max="4873" width="6.42578125" style="36" customWidth="1"/>
    <col min="4874" max="4874" width="3.28515625" style="36" customWidth="1"/>
    <col min="4875" max="4875" width="11.42578125" style="36" customWidth="1"/>
    <col min="4876" max="4876" width="3.28515625" style="36" customWidth="1"/>
    <col min="4877" max="4877" width="8.28515625" style="36" customWidth="1"/>
    <col min="4878" max="4878" width="3.28515625" style="36" customWidth="1"/>
    <col min="4879" max="4879" width="11.42578125" style="36" customWidth="1"/>
    <col min="4880" max="4880" width="8.5703125" style="36" customWidth="1"/>
    <col min="4881" max="4882" width="0.42578125" style="36" customWidth="1"/>
    <col min="4883" max="4883" width="9.140625" style="36" customWidth="1"/>
    <col min="4884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3.28515625" style="36" customWidth="1"/>
    <col min="5125" max="5125" width="12.140625" style="36" customWidth="1"/>
    <col min="5126" max="5126" width="3.28515625" style="36" customWidth="1"/>
    <col min="5127" max="5127" width="7.5703125" style="36" customWidth="1"/>
    <col min="5128" max="5128" width="3.28515625" style="36" customWidth="1"/>
    <col min="5129" max="5129" width="6.42578125" style="36" customWidth="1"/>
    <col min="5130" max="5130" width="3.28515625" style="36" customWidth="1"/>
    <col min="5131" max="5131" width="11.42578125" style="36" customWidth="1"/>
    <col min="5132" max="5132" width="3.28515625" style="36" customWidth="1"/>
    <col min="5133" max="5133" width="8.28515625" style="36" customWidth="1"/>
    <col min="5134" max="5134" width="3.28515625" style="36" customWidth="1"/>
    <col min="5135" max="5135" width="11.42578125" style="36" customWidth="1"/>
    <col min="5136" max="5136" width="8.5703125" style="36" customWidth="1"/>
    <col min="5137" max="5138" width="0.42578125" style="36" customWidth="1"/>
    <col min="5139" max="5139" width="9.140625" style="36" customWidth="1"/>
    <col min="5140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3.28515625" style="36" customWidth="1"/>
    <col min="5381" max="5381" width="12.140625" style="36" customWidth="1"/>
    <col min="5382" max="5382" width="3.28515625" style="36" customWidth="1"/>
    <col min="5383" max="5383" width="7.5703125" style="36" customWidth="1"/>
    <col min="5384" max="5384" width="3.28515625" style="36" customWidth="1"/>
    <col min="5385" max="5385" width="6.42578125" style="36" customWidth="1"/>
    <col min="5386" max="5386" width="3.28515625" style="36" customWidth="1"/>
    <col min="5387" max="5387" width="11.42578125" style="36" customWidth="1"/>
    <col min="5388" max="5388" width="3.28515625" style="36" customWidth="1"/>
    <col min="5389" max="5389" width="8.28515625" style="36" customWidth="1"/>
    <col min="5390" max="5390" width="3.28515625" style="36" customWidth="1"/>
    <col min="5391" max="5391" width="11.42578125" style="36" customWidth="1"/>
    <col min="5392" max="5392" width="8.5703125" style="36" customWidth="1"/>
    <col min="5393" max="5394" width="0.42578125" style="36" customWidth="1"/>
    <col min="5395" max="5395" width="9.140625" style="36" customWidth="1"/>
    <col min="5396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3.28515625" style="36" customWidth="1"/>
    <col min="5637" max="5637" width="12.140625" style="36" customWidth="1"/>
    <col min="5638" max="5638" width="3.28515625" style="36" customWidth="1"/>
    <col min="5639" max="5639" width="7.5703125" style="36" customWidth="1"/>
    <col min="5640" max="5640" width="3.28515625" style="36" customWidth="1"/>
    <col min="5641" max="5641" width="6.42578125" style="36" customWidth="1"/>
    <col min="5642" max="5642" width="3.28515625" style="36" customWidth="1"/>
    <col min="5643" max="5643" width="11.42578125" style="36" customWidth="1"/>
    <col min="5644" max="5644" width="3.28515625" style="36" customWidth="1"/>
    <col min="5645" max="5645" width="8.28515625" style="36" customWidth="1"/>
    <col min="5646" max="5646" width="3.28515625" style="36" customWidth="1"/>
    <col min="5647" max="5647" width="11.42578125" style="36" customWidth="1"/>
    <col min="5648" max="5648" width="8.5703125" style="36" customWidth="1"/>
    <col min="5649" max="5650" width="0.42578125" style="36" customWidth="1"/>
    <col min="5651" max="5651" width="9.140625" style="36" customWidth="1"/>
    <col min="5652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3.28515625" style="36" customWidth="1"/>
    <col min="5893" max="5893" width="12.140625" style="36" customWidth="1"/>
    <col min="5894" max="5894" width="3.28515625" style="36" customWidth="1"/>
    <col min="5895" max="5895" width="7.5703125" style="36" customWidth="1"/>
    <col min="5896" max="5896" width="3.28515625" style="36" customWidth="1"/>
    <col min="5897" max="5897" width="6.42578125" style="36" customWidth="1"/>
    <col min="5898" max="5898" width="3.28515625" style="36" customWidth="1"/>
    <col min="5899" max="5899" width="11.42578125" style="36" customWidth="1"/>
    <col min="5900" max="5900" width="3.28515625" style="36" customWidth="1"/>
    <col min="5901" max="5901" width="8.28515625" style="36" customWidth="1"/>
    <col min="5902" max="5902" width="3.28515625" style="36" customWidth="1"/>
    <col min="5903" max="5903" width="11.42578125" style="36" customWidth="1"/>
    <col min="5904" max="5904" width="8.5703125" style="36" customWidth="1"/>
    <col min="5905" max="5906" width="0.42578125" style="36" customWidth="1"/>
    <col min="5907" max="5907" width="9.140625" style="36" customWidth="1"/>
    <col min="5908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3.28515625" style="36" customWidth="1"/>
    <col min="6149" max="6149" width="12.140625" style="36" customWidth="1"/>
    <col min="6150" max="6150" width="3.28515625" style="36" customWidth="1"/>
    <col min="6151" max="6151" width="7.5703125" style="36" customWidth="1"/>
    <col min="6152" max="6152" width="3.28515625" style="36" customWidth="1"/>
    <col min="6153" max="6153" width="6.42578125" style="36" customWidth="1"/>
    <col min="6154" max="6154" width="3.28515625" style="36" customWidth="1"/>
    <col min="6155" max="6155" width="11.42578125" style="36" customWidth="1"/>
    <col min="6156" max="6156" width="3.28515625" style="36" customWidth="1"/>
    <col min="6157" max="6157" width="8.28515625" style="36" customWidth="1"/>
    <col min="6158" max="6158" width="3.28515625" style="36" customWidth="1"/>
    <col min="6159" max="6159" width="11.42578125" style="36" customWidth="1"/>
    <col min="6160" max="6160" width="8.5703125" style="36" customWidth="1"/>
    <col min="6161" max="6162" width="0.42578125" style="36" customWidth="1"/>
    <col min="6163" max="6163" width="9.140625" style="36" customWidth="1"/>
    <col min="6164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3.28515625" style="36" customWidth="1"/>
    <col min="6405" max="6405" width="12.140625" style="36" customWidth="1"/>
    <col min="6406" max="6406" width="3.28515625" style="36" customWidth="1"/>
    <col min="6407" max="6407" width="7.5703125" style="36" customWidth="1"/>
    <col min="6408" max="6408" width="3.28515625" style="36" customWidth="1"/>
    <col min="6409" max="6409" width="6.42578125" style="36" customWidth="1"/>
    <col min="6410" max="6410" width="3.28515625" style="36" customWidth="1"/>
    <col min="6411" max="6411" width="11.42578125" style="36" customWidth="1"/>
    <col min="6412" max="6412" width="3.28515625" style="36" customWidth="1"/>
    <col min="6413" max="6413" width="8.28515625" style="36" customWidth="1"/>
    <col min="6414" max="6414" width="3.28515625" style="36" customWidth="1"/>
    <col min="6415" max="6415" width="11.42578125" style="36" customWidth="1"/>
    <col min="6416" max="6416" width="8.5703125" style="36" customWidth="1"/>
    <col min="6417" max="6418" width="0.42578125" style="36" customWidth="1"/>
    <col min="6419" max="6419" width="9.140625" style="36" customWidth="1"/>
    <col min="6420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3.28515625" style="36" customWidth="1"/>
    <col min="6661" max="6661" width="12.140625" style="36" customWidth="1"/>
    <col min="6662" max="6662" width="3.28515625" style="36" customWidth="1"/>
    <col min="6663" max="6663" width="7.5703125" style="36" customWidth="1"/>
    <col min="6664" max="6664" width="3.28515625" style="36" customWidth="1"/>
    <col min="6665" max="6665" width="6.42578125" style="36" customWidth="1"/>
    <col min="6666" max="6666" width="3.28515625" style="36" customWidth="1"/>
    <col min="6667" max="6667" width="11.42578125" style="36" customWidth="1"/>
    <col min="6668" max="6668" width="3.28515625" style="36" customWidth="1"/>
    <col min="6669" max="6669" width="8.28515625" style="36" customWidth="1"/>
    <col min="6670" max="6670" width="3.28515625" style="36" customWidth="1"/>
    <col min="6671" max="6671" width="11.42578125" style="36" customWidth="1"/>
    <col min="6672" max="6672" width="8.5703125" style="36" customWidth="1"/>
    <col min="6673" max="6674" width="0.42578125" style="36" customWidth="1"/>
    <col min="6675" max="6675" width="9.140625" style="36" customWidth="1"/>
    <col min="6676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3.28515625" style="36" customWidth="1"/>
    <col min="6917" max="6917" width="12.140625" style="36" customWidth="1"/>
    <col min="6918" max="6918" width="3.28515625" style="36" customWidth="1"/>
    <col min="6919" max="6919" width="7.5703125" style="36" customWidth="1"/>
    <col min="6920" max="6920" width="3.28515625" style="36" customWidth="1"/>
    <col min="6921" max="6921" width="6.42578125" style="36" customWidth="1"/>
    <col min="6922" max="6922" width="3.28515625" style="36" customWidth="1"/>
    <col min="6923" max="6923" width="11.42578125" style="36" customWidth="1"/>
    <col min="6924" max="6924" width="3.28515625" style="36" customWidth="1"/>
    <col min="6925" max="6925" width="8.28515625" style="36" customWidth="1"/>
    <col min="6926" max="6926" width="3.28515625" style="36" customWidth="1"/>
    <col min="6927" max="6927" width="11.42578125" style="36" customWidth="1"/>
    <col min="6928" max="6928" width="8.5703125" style="36" customWidth="1"/>
    <col min="6929" max="6930" width="0.42578125" style="36" customWidth="1"/>
    <col min="6931" max="6931" width="9.140625" style="36" customWidth="1"/>
    <col min="6932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3.28515625" style="36" customWidth="1"/>
    <col min="7173" max="7173" width="12.140625" style="36" customWidth="1"/>
    <col min="7174" max="7174" width="3.28515625" style="36" customWidth="1"/>
    <col min="7175" max="7175" width="7.5703125" style="36" customWidth="1"/>
    <col min="7176" max="7176" width="3.28515625" style="36" customWidth="1"/>
    <col min="7177" max="7177" width="6.42578125" style="36" customWidth="1"/>
    <col min="7178" max="7178" width="3.28515625" style="36" customWidth="1"/>
    <col min="7179" max="7179" width="11.42578125" style="36" customWidth="1"/>
    <col min="7180" max="7180" width="3.28515625" style="36" customWidth="1"/>
    <col min="7181" max="7181" width="8.28515625" style="36" customWidth="1"/>
    <col min="7182" max="7182" width="3.28515625" style="36" customWidth="1"/>
    <col min="7183" max="7183" width="11.42578125" style="36" customWidth="1"/>
    <col min="7184" max="7184" width="8.5703125" style="36" customWidth="1"/>
    <col min="7185" max="7186" width="0.42578125" style="36" customWidth="1"/>
    <col min="7187" max="7187" width="9.140625" style="36" customWidth="1"/>
    <col min="7188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3.28515625" style="36" customWidth="1"/>
    <col min="7429" max="7429" width="12.140625" style="36" customWidth="1"/>
    <col min="7430" max="7430" width="3.28515625" style="36" customWidth="1"/>
    <col min="7431" max="7431" width="7.5703125" style="36" customWidth="1"/>
    <col min="7432" max="7432" width="3.28515625" style="36" customWidth="1"/>
    <col min="7433" max="7433" width="6.42578125" style="36" customWidth="1"/>
    <col min="7434" max="7434" width="3.28515625" style="36" customWidth="1"/>
    <col min="7435" max="7435" width="11.42578125" style="36" customWidth="1"/>
    <col min="7436" max="7436" width="3.28515625" style="36" customWidth="1"/>
    <col min="7437" max="7437" width="8.28515625" style="36" customWidth="1"/>
    <col min="7438" max="7438" width="3.28515625" style="36" customWidth="1"/>
    <col min="7439" max="7439" width="11.42578125" style="36" customWidth="1"/>
    <col min="7440" max="7440" width="8.5703125" style="36" customWidth="1"/>
    <col min="7441" max="7442" width="0.42578125" style="36" customWidth="1"/>
    <col min="7443" max="7443" width="9.140625" style="36" customWidth="1"/>
    <col min="7444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3.28515625" style="36" customWidth="1"/>
    <col min="7685" max="7685" width="12.140625" style="36" customWidth="1"/>
    <col min="7686" max="7686" width="3.28515625" style="36" customWidth="1"/>
    <col min="7687" max="7687" width="7.5703125" style="36" customWidth="1"/>
    <col min="7688" max="7688" width="3.28515625" style="36" customWidth="1"/>
    <col min="7689" max="7689" width="6.42578125" style="36" customWidth="1"/>
    <col min="7690" max="7690" width="3.28515625" style="36" customWidth="1"/>
    <col min="7691" max="7691" width="11.42578125" style="36" customWidth="1"/>
    <col min="7692" max="7692" width="3.28515625" style="36" customWidth="1"/>
    <col min="7693" max="7693" width="8.28515625" style="36" customWidth="1"/>
    <col min="7694" max="7694" width="3.28515625" style="36" customWidth="1"/>
    <col min="7695" max="7695" width="11.42578125" style="36" customWidth="1"/>
    <col min="7696" max="7696" width="8.5703125" style="36" customWidth="1"/>
    <col min="7697" max="7698" width="0.42578125" style="36" customWidth="1"/>
    <col min="7699" max="7699" width="9.140625" style="36" customWidth="1"/>
    <col min="7700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3.28515625" style="36" customWidth="1"/>
    <col min="7941" max="7941" width="12.140625" style="36" customWidth="1"/>
    <col min="7942" max="7942" width="3.28515625" style="36" customWidth="1"/>
    <col min="7943" max="7943" width="7.5703125" style="36" customWidth="1"/>
    <col min="7944" max="7944" width="3.28515625" style="36" customWidth="1"/>
    <col min="7945" max="7945" width="6.42578125" style="36" customWidth="1"/>
    <col min="7946" max="7946" width="3.28515625" style="36" customWidth="1"/>
    <col min="7947" max="7947" width="11.42578125" style="36" customWidth="1"/>
    <col min="7948" max="7948" width="3.28515625" style="36" customWidth="1"/>
    <col min="7949" max="7949" width="8.28515625" style="36" customWidth="1"/>
    <col min="7950" max="7950" width="3.28515625" style="36" customWidth="1"/>
    <col min="7951" max="7951" width="11.42578125" style="36" customWidth="1"/>
    <col min="7952" max="7952" width="8.5703125" style="36" customWidth="1"/>
    <col min="7953" max="7954" width="0.42578125" style="36" customWidth="1"/>
    <col min="7955" max="7955" width="9.140625" style="36" customWidth="1"/>
    <col min="7956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3.28515625" style="36" customWidth="1"/>
    <col min="8197" max="8197" width="12.140625" style="36" customWidth="1"/>
    <col min="8198" max="8198" width="3.28515625" style="36" customWidth="1"/>
    <col min="8199" max="8199" width="7.5703125" style="36" customWidth="1"/>
    <col min="8200" max="8200" width="3.28515625" style="36" customWidth="1"/>
    <col min="8201" max="8201" width="6.42578125" style="36" customWidth="1"/>
    <col min="8202" max="8202" width="3.28515625" style="36" customWidth="1"/>
    <col min="8203" max="8203" width="11.42578125" style="36" customWidth="1"/>
    <col min="8204" max="8204" width="3.28515625" style="36" customWidth="1"/>
    <col min="8205" max="8205" width="8.28515625" style="36" customWidth="1"/>
    <col min="8206" max="8206" width="3.28515625" style="36" customWidth="1"/>
    <col min="8207" max="8207" width="11.42578125" style="36" customWidth="1"/>
    <col min="8208" max="8208" width="8.5703125" style="36" customWidth="1"/>
    <col min="8209" max="8210" width="0.42578125" style="36" customWidth="1"/>
    <col min="8211" max="8211" width="9.140625" style="36" customWidth="1"/>
    <col min="8212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3.28515625" style="36" customWidth="1"/>
    <col min="8453" max="8453" width="12.140625" style="36" customWidth="1"/>
    <col min="8454" max="8454" width="3.28515625" style="36" customWidth="1"/>
    <col min="8455" max="8455" width="7.5703125" style="36" customWidth="1"/>
    <col min="8456" max="8456" width="3.28515625" style="36" customWidth="1"/>
    <col min="8457" max="8457" width="6.42578125" style="36" customWidth="1"/>
    <col min="8458" max="8458" width="3.28515625" style="36" customWidth="1"/>
    <col min="8459" max="8459" width="11.42578125" style="36" customWidth="1"/>
    <col min="8460" max="8460" width="3.28515625" style="36" customWidth="1"/>
    <col min="8461" max="8461" width="8.28515625" style="36" customWidth="1"/>
    <col min="8462" max="8462" width="3.28515625" style="36" customWidth="1"/>
    <col min="8463" max="8463" width="11.42578125" style="36" customWidth="1"/>
    <col min="8464" max="8464" width="8.5703125" style="36" customWidth="1"/>
    <col min="8465" max="8466" width="0.42578125" style="36" customWidth="1"/>
    <col min="8467" max="8467" width="9.140625" style="36" customWidth="1"/>
    <col min="8468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3.28515625" style="36" customWidth="1"/>
    <col min="8709" max="8709" width="12.140625" style="36" customWidth="1"/>
    <col min="8710" max="8710" width="3.28515625" style="36" customWidth="1"/>
    <col min="8711" max="8711" width="7.5703125" style="36" customWidth="1"/>
    <col min="8712" max="8712" width="3.28515625" style="36" customWidth="1"/>
    <col min="8713" max="8713" width="6.42578125" style="36" customWidth="1"/>
    <col min="8714" max="8714" width="3.28515625" style="36" customWidth="1"/>
    <col min="8715" max="8715" width="11.42578125" style="36" customWidth="1"/>
    <col min="8716" max="8716" width="3.28515625" style="36" customWidth="1"/>
    <col min="8717" max="8717" width="8.28515625" style="36" customWidth="1"/>
    <col min="8718" max="8718" width="3.28515625" style="36" customWidth="1"/>
    <col min="8719" max="8719" width="11.42578125" style="36" customWidth="1"/>
    <col min="8720" max="8720" width="8.5703125" style="36" customWidth="1"/>
    <col min="8721" max="8722" width="0.42578125" style="36" customWidth="1"/>
    <col min="8723" max="8723" width="9.140625" style="36" customWidth="1"/>
    <col min="8724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3.28515625" style="36" customWidth="1"/>
    <col min="8965" max="8965" width="12.140625" style="36" customWidth="1"/>
    <col min="8966" max="8966" width="3.28515625" style="36" customWidth="1"/>
    <col min="8967" max="8967" width="7.5703125" style="36" customWidth="1"/>
    <col min="8968" max="8968" width="3.28515625" style="36" customWidth="1"/>
    <col min="8969" max="8969" width="6.42578125" style="36" customWidth="1"/>
    <col min="8970" max="8970" width="3.28515625" style="36" customWidth="1"/>
    <col min="8971" max="8971" width="11.42578125" style="36" customWidth="1"/>
    <col min="8972" max="8972" width="3.28515625" style="36" customWidth="1"/>
    <col min="8973" max="8973" width="8.28515625" style="36" customWidth="1"/>
    <col min="8974" max="8974" width="3.28515625" style="36" customWidth="1"/>
    <col min="8975" max="8975" width="11.42578125" style="36" customWidth="1"/>
    <col min="8976" max="8976" width="8.5703125" style="36" customWidth="1"/>
    <col min="8977" max="8978" width="0.42578125" style="36" customWidth="1"/>
    <col min="8979" max="8979" width="9.140625" style="36" customWidth="1"/>
    <col min="8980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3.28515625" style="36" customWidth="1"/>
    <col min="9221" max="9221" width="12.140625" style="36" customWidth="1"/>
    <col min="9222" max="9222" width="3.28515625" style="36" customWidth="1"/>
    <col min="9223" max="9223" width="7.5703125" style="36" customWidth="1"/>
    <col min="9224" max="9224" width="3.28515625" style="36" customWidth="1"/>
    <col min="9225" max="9225" width="6.42578125" style="36" customWidth="1"/>
    <col min="9226" max="9226" width="3.28515625" style="36" customWidth="1"/>
    <col min="9227" max="9227" width="11.42578125" style="36" customWidth="1"/>
    <col min="9228" max="9228" width="3.28515625" style="36" customWidth="1"/>
    <col min="9229" max="9229" width="8.28515625" style="36" customWidth="1"/>
    <col min="9230" max="9230" width="3.28515625" style="36" customWidth="1"/>
    <col min="9231" max="9231" width="11.42578125" style="36" customWidth="1"/>
    <col min="9232" max="9232" width="8.5703125" style="36" customWidth="1"/>
    <col min="9233" max="9234" width="0.42578125" style="36" customWidth="1"/>
    <col min="9235" max="9235" width="9.140625" style="36" customWidth="1"/>
    <col min="9236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3.28515625" style="36" customWidth="1"/>
    <col min="9477" max="9477" width="12.140625" style="36" customWidth="1"/>
    <col min="9478" max="9478" width="3.28515625" style="36" customWidth="1"/>
    <col min="9479" max="9479" width="7.5703125" style="36" customWidth="1"/>
    <col min="9480" max="9480" width="3.28515625" style="36" customWidth="1"/>
    <col min="9481" max="9481" width="6.42578125" style="36" customWidth="1"/>
    <col min="9482" max="9482" width="3.28515625" style="36" customWidth="1"/>
    <col min="9483" max="9483" width="11.42578125" style="36" customWidth="1"/>
    <col min="9484" max="9484" width="3.28515625" style="36" customWidth="1"/>
    <col min="9485" max="9485" width="8.28515625" style="36" customWidth="1"/>
    <col min="9486" max="9486" width="3.28515625" style="36" customWidth="1"/>
    <col min="9487" max="9487" width="11.42578125" style="36" customWidth="1"/>
    <col min="9488" max="9488" width="8.5703125" style="36" customWidth="1"/>
    <col min="9489" max="9490" width="0.42578125" style="36" customWidth="1"/>
    <col min="9491" max="9491" width="9.140625" style="36" customWidth="1"/>
    <col min="9492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3.28515625" style="36" customWidth="1"/>
    <col min="9733" max="9733" width="12.140625" style="36" customWidth="1"/>
    <col min="9734" max="9734" width="3.28515625" style="36" customWidth="1"/>
    <col min="9735" max="9735" width="7.5703125" style="36" customWidth="1"/>
    <col min="9736" max="9736" width="3.28515625" style="36" customWidth="1"/>
    <col min="9737" max="9737" width="6.42578125" style="36" customWidth="1"/>
    <col min="9738" max="9738" width="3.28515625" style="36" customWidth="1"/>
    <col min="9739" max="9739" width="11.42578125" style="36" customWidth="1"/>
    <col min="9740" max="9740" width="3.28515625" style="36" customWidth="1"/>
    <col min="9741" max="9741" width="8.28515625" style="36" customWidth="1"/>
    <col min="9742" max="9742" width="3.28515625" style="36" customWidth="1"/>
    <col min="9743" max="9743" width="11.42578125" style="36" customWidth="1"/>
    <col min="9744" max="9744" width="8.5703125" style="36" customWidth="1"/>
    <col min="9745" max="9746" width="0.42578125" style="36" customWidth="1"/>
    <col min="9747" max="9747" width="9.140625" style="36" customWidth="1"/>
    <col min="9748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3.28515625" style="36" customWidth="1"/>
    <col min="9989" max="9989" width="12.140625" style="36" customWidth="1"/>
    <col min="9990" max="9990" width="3.28515625" style="36" customWidth="1"/>
    <col min="9991" max="9991" width="7.5703125" style="36" customWidth="1"/>
    <col min="9992" max="9992" width="3.28515625" style="36" customWidth="1"/>
    <col min="9993" max="9993" width="6.42578125" style="36" customWidth="1"/>
    <col min="9994" max="9994" width="3.28515625" style="36" customWidth="1"/>
    <col min="9995" max="9995" width="11.42578125" style="36" customWidth="1"/>
    <col min="9996" max="9996" width="3.28515625" style="36" customWidth="1"/>
    <col min="9997" max="9997" width="8.28515625" style="36" customWidth="1"/>
    <col min="9998" max="9998" width="3.28515625" style="36" customWidth="1"/>
    <col min="9999" max="9999" width="11.42578125" style="36" customWidth="1"/>
    <col min="10000" max="10000" width="8.5703125" style="36" customWidth="1"/>
    <col min="10001" max="10002" width="0.42578125" style="36" customWidth="1"/>
    <col min="10003" max="10003" width="9.140625" style="36" customWidth="1"/>
    <col min="10004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3.28515625" style="36" customWidth="1"/>
    <col min="10245" max="10245" width="12.140625" style="36" customWidth="1"/>
    <col min="10246" max="10246" width="3.28515625" style="36" customWidth="1"/>
    <col min="10247" max="10247" width="7.5703125" style="36" customWidth="1"/>
    <col min="10248" max="10248" width="3.28515625" style="36" customWidth="1"/>
    <col min="10249" max="10249" width="6.42578125" style="36" customWidth="1"/>
    <col min="10250" max="10250" width="3.28515625" style="36" customWidth="1"/>
    <col min="10251" max="10251" width="11.42578125" style="36" customWidth="1"/>
    <col min="10252" max="10252" width="3.28515625" style="36" customWidth="1"/>
    <col min="10253" max="10253" width="8.28515625" style="36" customWidth="1"/>
    <col min="10254" max="10254" width="3.28515625" style="36" customWidth="1"/>
    <col min="10255" max="10255" width="11.42578125" style="36" customWidth="1"/>
    <col min="10256" max="10256" width="8.5703125" style="36" customWidth="1"/>
    <col min="10257" max="10258" width="0.42578125" style="36" customWidth="1"/>
    <col min="10259" max="10259" width="9.140625" style="36" customWidth="1"/>
    <col min="10260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3.28515625" style="36" customWidth="1"/>
    <col min="10501" max="10501" width="12.140625" style="36" customWidth="1"/>
    <col min="10502" max="10502" width="3.28515625" style="36" customWidth="1"/>
    <col min="10503" max="10503" width="7.5703125" style="36" customWidth="1"/>
    <col min="10504" max="10504" width="3.28515625" style="36" customWidth="1"/>
    <col min="10505" max="10505" width="6.42578125" style="36" customWidth="1"/>
    <col min="10506" max="10506" width="3.28515625" style="36" customWidth="1"/>
    <col min="10507" max="10507" width="11.42578125" style="36" customWidth="1"/>
    <col min="10508" max="10508" width="3.28515625" style="36" customWidth="1"/>
    <col min="10509" max="10509" width="8.28515625" style="36" customWidth="1"/>
    <col min="10510" max="10510" width="3.28515625" style="36" customWidth="1"/>
    <col min="10511" max="10511" width="11.42578125" style="36" customWidth="1"/>
    <col min="10512" max="10512" width="8.5703125" style="36" customWidth="1"/>
    <col min="10513" max="10514" width="0.42578125" style="36" customWidth="1"/>
    <col min="10515" max="10515" width="9.140625" style="36" customWidth="1"/>
    <col min="10516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3.28515625" style="36" customWidth="1"/>
    <col min="10757" max="10757" width="12.140625" style="36" customWidth="1"/>
    <col min="10758" max="10758" width="3.28515625" style="36" customWidth="1"/>
    <col min="10759" max="10759" width="7.5703125" style="36" customWidth="1"/>
    <col min="10760" max="10760" width="3.28515625" style="36" customWidth="1"/>
    <col min="10761" max="10761" width="6.42578125" style="36" customWidth="1"/>
    <col min="10762" max="10762" width="3.28515625" style="36" customWidth="1"/>
    <col min="10763" max="10763" width="11.42578125" style="36" customWidth="1"/>
    <col min="10764" max="10764" width="3.28515625" style="36" customWidth="1"/>
    <col min="10765" max="10765" width="8.28515625" style="36" customWidth="1"/>
    <col min="10766" max="10766" width="3.28515625" style="36" customWidth="1"/>
    <col min="10767" max="10767" width="11.42578125" style="36" customWidth="1"/>
    <col min="10768" max="10768" width="8.5703125" style="36" customWidth="1"/>
    <col min="10769" max="10770" width="0.42578125" style="36" customWidth="1"/>
    <col min="10771" max="10771" width="9.140625" style="36" customWidth="1"/>
    <col min="10772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3.28515625" style="36" customWidth="1"/>
    <col min="11013" max="11013" width="12.140625" style="36" customWidth="1"/>
    <col min="11014" max="11014" width="3.28515625" style="36" customWidth="1"/>
    <col min="11015" max="11015" width="7.5703125" style="36" customWidth="1"/>
    <col min="11016" max="11016" width="3.28515625" style="36" customWidth="1"/>
    <col min="11017" max="11017" width="6.42578125" style="36" customWidth="1"/>
    <col min="11018" max="11018" width="3.28515625" style="36" customWidth="1"/>
    <col min="11019" max="11019" width="11.42578125" style="36" customWidth="1"/>
    <col min="11020" max="11020" width="3.28515625" style="36" customWidth="1"/>
    <col min="11021" max="11021" width="8.28515625" style="36" customWidth="1"/>
    <col min="11022" max="11022" width="3.28515625" style="36" customWidth="1"/>
    <col min="11023" max="11023" width="11.42578125" style="36" customWidth="1"/>
    <col min="11024" max="11024" width="8.5703125" style="36" customWidth="1"/>
    <col min="11025" max="11026" width="0.42578125" style="36" customWidth="1"/>
    <col min="11027" max="11027" width="9.140625" style="36" customWidth="1"/>
    <col min="11028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3.28515625" style="36" customWidth="1"/>
    <col min="11269" max="11269" width="12.140625" style="36" customWidth="1"/>
    <col min="11270" max="11270" width="3.28515625" style="36" customWidth="1"/>
    <col min="11271" max="11271" width="7.5703125" style="36" customWidth="1"/>
    <col min="11272" max="11272" width="3.28515625" style="36" customWidth="1"/>
    <col min="11273" max="11273" width="6.42578125" style="36" customWidth="1"/>
    <col min="11274" max="11274" width="3.28515625" style="36" customWidth="1"/>
    <col min="11275" max="11275" width="11.42578125" style="36" customWidth="1"/>
    <col min="11276" max="11276" width="3.28515625" style="36" customWidth="1"/>
    <col min="11277" max="11277" width="8.28515625" style="36" customWidth="1"/>
    <col min="11278" max="11278" width="3.28515625" style="36" customWidth="1"/>
    <col min="11279" max="11279" width="11.42578125" style="36" customWidth="1"/>
    <col min="11280" max="11280" width="8.5703125" style="36" customWidth="1"/>
    <col min="11281" max="11282" width="0.42578125" style="36" customWidth="1"/>
    <col min="11283" max="11283" width="9.140625" style="36" customWidth="1"/>
    <col min="11284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3.28515625" style="36" customWidth="1"/>
    <col min="11525" max="11525" width="12.140625" style="36" customWidth="1"/>
    <col min="11526" max="11526" width="3.28515625" style="36" customWidth="1"/>
    <col min="11527" max="11527" width="7.5703125" style="36" customWidth="1"/>
    <col min="11528" max="11528" width="3.28515625" style="36" customWidth="1"/>
    <col min="11529" max="11529" width="6.42578125" style="36" customWidth="1"/>
    <col min="11530" max="11530" width="3.28515625" style="36" customWidth="1"/>
    <col min="11531" max="11531" width="11.42578125" style="36" customWidth="1"/>
    <col min="11532" max="11532" width="3.28515625" style="36" customWidth="1"/>
    <col min="11533" max="11533" width="8.28515625" style="36" customWidth="1"/>
    <col min="11534" max="11534" width="3.28515625" style="36" customWidth="1"/>
    <col min="11535" max="11535" width="11.42578125" style="36" customWidth="1"/>
    <col min="11536" max="11536" width="8.5703125" style="36" customWidth="1"/>
    <col min="11537" max="11538" width="0.42578125" style="36" customWidth="1"/>
    <col min="11539" max="11539" width="9.140625" style="36" customWidth="1"/>
    <col min="11540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3.28515625" style="36" customWidth="1"/>
    <col min="11781" max="11781" width="12.140625" style="36" customWidth="1"/>
    <col min="11782" max="11782" width="3.28515625" style="36" customWidth="1"/>
    <col min="11783" max="11783" width="7.5703125" style="36" customWidth="1"/>
    <col min="11784" max="11784" width="3.28515625" style="36" customWidth="1"/>
    <col min="11785" max="11785" width="6.42578125" style="36" customWidth="1"/>
    <col min="11786" max="11786" width="3.28515625" style="36" customWidth="1"/>
    <col min="11787" max="11787" width="11.42578125" style="36" customWidth="1"/>
    <col min="11788" max="11788" width="3.28515625" style="36" customWidth="1"/>
    <col min="11789" max="11789" width="8.28515625" style="36" customWidth="1"/>
    <col min="11790" max="11790" width="3.28515625" style="36" customWidth="1"/>
    <col min="11791" max="11791" width="11.42578125" style="36" customWidth="1"/>
    <col min="11792" max="11792" width="8.5703125" style="36" customWidth="1"/>
    <col min="11793" max="11794" width="0.42578125" style="36" customWidth="1"/>
    <col min="11795" max="11795" width="9.140625" style="36" customWidth="1"/>
    <col min="11796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3.28515625" style="36" customWidth="1"/>
    <col min="12037" max="12037" width="12.140625" style="36" customWidth="1"/>
    <col min="12038" max="12038" width="3.28515625" style="36" customWidth="1"/>
    <col min="12039" max="12039" width="7.5703125" style="36" customWidth="1"/>
    <col min="12040" max="12040" width="3.28515625" style="36" customWidth="1"/>
    <col min="12041" max="12041" width="6.42578125" style="36" customWidth="1"/>
    <col min="12042" max="12042" width="3.28515625" style="36" customWidth="1"/>
    <col min="12043" max="12043" width="11.42578125" style="36" customWidth="1"/>
    <col min="12044" max="12044" width="3.28515625" style="36" customWidth="1"/>
    <col min="12045" max="12045" width="8.28515625" style="36" customWidth="1"/>
    <col min="12046" max="12046" width="3.28515625" style="36" customWidth="1"/>
    <col min="12047" max="12047" width="11.42578125" style="36" customWidth="1"/>
    <col min="12048" max="12048" width="8.5703125" style="36" customWidth="1"/>
    <col min="12049" max="12050" width="0.42578125" style="36" customWidth="1"/>
    <col min="12051" max="12051" width="9.140625" style="36" customWidth="1"/>
    <col min="12052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3.28515625" style="36" customWidth="1"/>
    <col min="12293" max="12293" width="12.140625" style="36" customWidth="1"/>
    <col min="12294" max="12294" width="3.28515625" style="36" customWidth="1"/>
    <col min="12295" max="12295" width="7.5703125" style="36" customWidth="1"/>
    <col min="12296" max="12296" width="3.28515625" style="36" customWidth="1"/>
    <col min="12297" max="12297" width="6.42578125" style="36" customWidth="1"/>
    <col min="12298" max="12298" width="3.28515625" style="36" customWidth="1"/>
    <col min="12299" max="12299" width="11.42578125" style="36" customWidth="1"/>
    <col min="12300" max="12300" width="3.28515625" style="36" customWidth="1"/>
    <col min="12301" max="12301" width="8.28515625" style="36" customWidth="1"/>
    <col min="12302" max="12302" width="3.28515625" style="36" customWidth="1"/>
    <col min="12303" max="12303" width="11.42578125" style="36" customWidth="1"/>
    <col min="12304" max="12304" width="8.5703125" style="36" customWidth="1"/>
    <col min="12305" max="12306" width="0.42578125" style="36" customWidth="1"/>
    <col min="12307" max="12307" width="9.140625" style="36" customWidth="1"/>
    <col min="12308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3.28515625" style="36" customWidth="1"/>
    <col min="12549" max="12549" width="12.140625" style="36" customWidth="1"/>
    <col min="12550" max="12550" width="3.28515625" style="36" customWidth="1"/>
    <col min="12551" max="12551" width="7.5703125" style="36" customWidth="1"/>
    <col min="12552" max="12552" width="3.28515625" style="36" customWidth="1"/>
    <col min="12553" max="12553" width="6.42578125" style="36" customWidth="1"/>
    <col min="12554" max="12554" width="3.28515625" style="36" customWidth="1"/>
    <col min="12555" max="12555" width="11.42578125" style="36" customWidth="1"/>
    <col min="12556" max="12556" width="3.28515625" style="36" customWidth="1"/>
    <col min="12557" max="12557" width="8.28515625" style="36" customWidth="1"/>
    <col min="12558" max="12558" width="3.28515625" style="36" customWidth="1"/>
    <col min="12559" max="12559" width="11.42578125" style="36" customWidth="1"/>
    <col min="12560" max="12560" width="8.5703125" style="36" customWidth="1"/>
    <col min="12561" max="12562" width="0.42578125" style="36" customWidth="1"/>
    <col min="12563" max="12563" width="9.140625" style="36" customWidth="1"/>
    <col min="12564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3.28515625" style="36" customWidth="1"/>
    <col min="12805" max="12805" width="12.140625" style="36" customWidth="1"/>
    <col min="12806" max="12806" width="3.28515625" style="36" customWidth="1"/>
    <col min="12807" max="12807" width="7.5703125" style="36" customWidth="1"/>
    <col min="12808" max="12808" width="3.28515625" style="36" customWidth="1"/>
    <col min="12809" max="12809" width="6.42578125" style="36" customWidth="1"/>
    <col min="12810" max="12810" width="3.28515625" style="36" customWidth="1"/>
    <col min="12811" max="12811" width="11.42578125" style="36" customWidth="1"/>
    <col min="12812" max="12812" width="3.28515625" style="36" customWidth="1"/>
    <col min="12813" max="12813" width="8.28515625" style="36" customWidth="1"/>
    <col min="12814" max="12814" width="3.28515625" style="36" customWidth="1"/>
    <col min="12815" max="12815" width="11.42578125" style="36" customWidth="1"/>
    <col min="12816" max="12816" width="8.5703125" style="36" customWidth="1"/>
    <col min="12817" max="12818" width="0.42578125" style="36" customWidth="1"/>
    <col min="12819" max="12819" width="9.140625" style="36" customWidth="1"/>
    <col min="12820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3.28515625" style="36" customWidth="1"/>
    <col min="13061" max="13061" width="12.140625" style="36" customWidth="1"/>
    <col min="13062" max="13062" width="3.28515625" style="36" customWidth="1"/>
    <col min="13063" max="13063" width="7.5703125" style="36" customWidth="1"/>
    <col min="13064" max="13064" width="3.28515625" style="36" customWidth="1"/>
    <col min="13065" max="13065" width="6.42578125" style="36" customWidth="1"/>
    <col min="13066" max="13066" width="3.28515625" style="36" customWidth="1"/>
    <col min="13067" max="13067" width="11.42578125" style="36" customWidth="1"/>
    <col min="13068" max="13068" width="3.28515625" style="36" customWidth="1"/>
    <col min="13069" max="13069" width="8.28515625" style="36" customWidth="1"/>
    <col min="13070" max="13070" width="3.28515625" style="36" customWidth="1"/>
    <col min="13071" max="13071" width="11.42578125" style="36" customWidth="1"/>
    <col min="13072" max="13072" width="8.5703125" style="36" customWidth="1"/>
    <col min="13073" max="13074" width="0.42578125" style="36" customWidth="1"/>
    <col min="13075" max="13075" width="9.140625" style="36" customWidth="1"/>
    <col min="13076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3.28515625" style="36" customWidth="1"/>
    <col min="13317" max="13317" width="12.140625" style="36" customWidth="1"/>
    <col min="13318" max="13318" width="3.28515625" style="36" customWidth="1"/>
    <col min="13319" max="13319" width="7.5703125" style="36" customWidth="1"/>
    <col min="13320" max="13320" width="3.28515625" style="36" customWidth="1"/>
    <col min="13321" max="13321" width="6.42578125" style="36" customWidth="1"/>
    <col min="13322" max="13322" width="3.28515625" style="36" customWidth="1"/>
    <col min="13323" max="13323" width="11.42578125" style="36" customWidth="1"/>
    <col min="13324" max="13324" width="3.28515625" style="36" customWidth="1"/>
    <col min="13325" max="13325" width="8.28515625" style="36" customWidth="1"/>
    <col min="13326" max="13326" width="3.28515625" style="36" customWidth="1"/>
    <col min="13327" max="13327" width="11.42578125" style="36" customWidth="1"/>
    <col min="13328" max="13328" width="8.5703125" style="36" customWidth="1"/>
    <col min="13329" max="13330" width="0.42578125" style="36" customWidth="1"/>
    <col min="13331" max="13331" width="9.140625" style="36" customWidth="1"/>
    <col min="13332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3.28515625" style="36" customWidth="1"/>
    <col min="13573" max="13573" width="12.140625" style="36" customWidth="1"/>
    <col min="13574" max="13574" width="3.28515625" style="36" customWidth="1"/>
    <col min="13575" max="13575" width="7.5703125" style="36" customWidth="1"/>
    <col min="13576" max="13576" width="3.28515625" style="36" customWidth="1"/>
    <col min="13577" max="13577" width="6.42578125" style="36" customWidth="1"/>
    <col min="13578" max="13578" width="3.28515625" style="36" customWidth="1"/>
    <col min="13579" max="13579" width="11.42578125" style="36" customWidth="1"/>
    <col min="13580" max="13580" width="3.28515625" style="36" customWidth="1"/>
    <col min="13581" max="13581" width="8.28515625" style="36" customWidth="1"/>
    <col min="13582" max="13582" width="3.28515625" style="36" customWidth="1"/>
    <col min="13583" max="13583" width="11.42578125" style="36" customWidth="1"/>
    <col min="13584" max="13584" width="8.5703125" style="36" customWidth="1"/>
    <col min="13585" max="13586" width="0.42578125" style="36" customWidth="1"/>
    <col min="13587" max="13587" width="9.140625" style="36" customWidth="1"/>
    <col min="13588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3.28515625" style="36" customWidth="1"/>
    <col min="13829" max="13829" width="12.140625" style="36" customWidth="1"/>
    <col min="13830" max="13830" width="3.28515625" style="36" customWidth="1"/>
    <col min="13831" max="13831" width="7.5703125" style="36" customWidth="1"/>
    <col min="13832" max="13832" width="3.28515625" style="36" customWidth="1"/>
    <col min="13833" max="13833" width="6.42578125" style="36" customWidth="1"/>
    <col min="13834" max="13834" width="3.28515625" style="36" customWidth="1"/>
    <col min="13835" max="13835" width="11.42578125" style="36" customWidth="1"/>
    <col min="13836" max="13836" width="3.28515625" style="36" customWidth="1"/>
    <col min="13837" max="13837" width="8.28515625" style="36" customWidth="1"/>
    <col min="13838" max="13838" width="3.28515625" style="36" customWidth="1"/>
    <col min="13839" max="13839" width="11.42578125" style="36" customWidth="1"/>
    <col min="13840" max="13840" width="8.5703125" style="36" customWidth="1"/>
    <col min="13841" max="13842" width="0.42578125" style="36" customWidth="1"/>
    <col min="13843" max="13843" width="9.140625" style="36" customWidth="1"/>
    <col min="13844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3.28515625" style="36" customWidth="1"/>
    <col min="14085" max="14085" width="12.140625" style="36" customWidth="1"/>
    <col min="14086" max="14086" width="3.28515625" style="36" customWidth="1"/>
    <col min="14087" max="14087" width="7.5703125" style="36" customWidth="1"/>
    <col min="14088" max="14088" width="3.28515625" style="36" customWidth="1"/>
    <col min="14089" max="14089" width="6.42578125" style="36" customWidth="1"/>
    <col min="14090" max="14090" width="3.28515625" style="36" customWidth="1"/>
    <col min="14091" max="14091" width="11.42578125" style="36" customWidth="1"/>
    <col min="14092" max="14092" width="3.28515625" style="36" customWidth="1"/>
    <col min="14093" max="14093" width="8.28515625" style="36" customWidth="1"/>
    <col min="14094" max="14094" width="3.28515625" style="36" customWidth="1"/>
    <col min="14095" max="14095" width="11.42578125" style="36" customWidth="1"/>
    <col min="14096" max="14096" width="8.5703125" style="36" customWidth="1"/>
    <col min="14097" max="14098" width="0.42578125" style="36" customWidth="1"/>
    <col min="14099" max="14099" width="9.140625" style="36" customWidth="1"/>
    <col min="14100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3.28515625" style="36" customWidth="1"/>
    <col min="14341" max="14341" width="12.140625" style="36" customWidth="1"/>
    <col min="14342" max="14342" width="3.28515625" style="36" customWidth="1"/>
    <col min="14343" max="14343" width="7.5703125" style="36" customWidth="1"/>
    <col min="14344" max="14344" width="3.28515625" style="36" customWidth="1"/>
    <col min="14345" max="14345" width="6.42578125" style="36" customWidth="1"/>
    <col min="14346" max="14346" width="3.28515625" style="36" customWidth="1"/>
    <col min="14347" max="14347" width="11.42578125" style="36" customWidth="1"/>
    <col min="14348" max="14348" width="3.28515625" style="36" customWidth="1"/>
    <col min="14349" max="14349" width="8.28515625" style="36" customWidth="1"/>
    <col min="14350" max="14350" width="3.28515625" style="36" customWidth="1"/>
    <col min="14351" max="14351" width="11.42578125" style="36" customWidth="1"/>
    <col min="14352" max="14352" width="8.5703125" style="36" customWidth="1"/>
    <col min="14353" max="14354" width="0.42578125" style="36" customWidth="1"/>
    <col min="14355" max="14355" width="9.140625" style="36" customWidth="1"/>
    <col min="14356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3.28515625" style="36" customWidth="1"/>
    <col min="14597" max="14597" width="12.140625" style="36" customWidth="1"/>
    <col min="14598" max="14598" width="3.28515625" style="36" customWidth="1"/>
    <col min="14599" max="14599" width="7.5703125" style="36" customWidth="1"/>
    <col min="14600" max="14600" width="3.28515625" style="36" customWidth="1"/>
    <col min="14601" max="14601" width="6.42578125" style="36" customWidth="1"/>
    <col min="14602" max="14602" width="3.28515625" style="36" customWidth="1"/>
    <col min="14603" max="14603" width="11.42578125" style="36" customWidth="1"/>
    <col min="14604" max="14604" width="3.28515625" style="36" customWidth="1"/>
    <col min="14605" max="14605" width="8.28515625" style="36" customWidth="1"/>
    <col min="14606" max="14606" width="3.28515625" style="36" customWidth="1"/>
    <col min="14607" max="14607" width="11.42578125" style="36" customWidth="1"/>
    <col min="14608" max="14608" width="8.5703125" style="36" customWidth="1"/>
    <col min="14609" max="14610" width="0.42578125" style="36" customWidth="1"/>
    <col min="14611" max="14611" width="9.140625" style="36" customWidth="1"/>
    <col min="14612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3.28515625" style="36" customWidth="1"/>
    <col min="14853" max="14853" width="12.140625" style="36" customWidth="1"/>
    <col min="14854" max="14854" width="3.28515625" style="36" customWidth="1"/>
    <col min="14855" max="14855" width="7.5703125" style="36" customWidth="1"/>
    <col min="14856" max="14856" width="3.28515625" style="36" customWidth="1"/>
    <col min="14857" max="14857" width="6.42578125" style="36" customWidth="1"/>
    <col min="14858" max="14858" width="3.28515625" style="36" customWidth="1"/>
    <col min="14859" max="14859" width="11.42578125" style="36" customWidth="1"/>
    <col min="14860" max="14860" width="3.28515625" style="36" customWidth="1"/>
    <col min="14861" max="14861" width="8.28515625" style="36" customWidth="1"/>
    <col min="14862" max="14862" width="3.28515625" style="36" customWidth="1"/>
    <col min="14863" max="14863" width="11.42578125" style="36" customWidth="1"/>
    <col min="14864" max="14864" width="8.5703125" style="36" customWidth="1"/>
    <col min="14865" max="14866" width="0.42578125" style="36" customWidth="1"/>
    <col min="14867" max="14867" width="9.140625" style="36" customWidth="1"/>
    <col min="14868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3.28515625" style="36" customWidth="1"/>
    <col min="15109" max="15109" width="12.140625" style="36" customWidth="1"/>
    <col min="15110" max="15110" width="3.28515625" style="36" customWidth="1"/>
    <col min="15111" max="15111" width="7.5703125" style="36" customWidth="1"/>
    <col min="15112" max="15112" width="3.28515625" style="36" customWidth="1"/>
    <col min="15113" max="15113" width="6.42578125" style="36" customWidth="1"/>
    <col min="15114" max="15114" width="3.28515625" style="36" customWidth="1"/>
    <col min="15115" max="15115" width="11.42578125" style="36" customWidth="1"/>
    <col min="15116" max="15116" width="3.28515625" style="36" customWidth="1"/>
    <col min="15117" max="15117" width="8.28515625" style="36" customWidth="1"/>
    <col min="15118" max="15118" width="3.28515625" style="36" customWidth="1"/>
    <col min="15119" max="15119" width="11.42578125" style="36" customWidth="1"/>
    <col min="15120" max="15120" width="8.5703125" style="36" customWidth="1"/>
    <col min="15121" max="15122" width="0.42578125" style="36" customWidth="1"/>
    <col min="15123" max="15123" width="9.140625" style="36" customWidth="1"/>
    <col min="15124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3.28515625" style="36" customWidth="1"/>
    <col min="15365" max="15365" width="12.140625" style="36" customWidth="1"/>
    <col min="15366" max="15366" width="3.28515625" style="36" customWidth="1"/>
    <col min="15367" max="15367" width="7.5703125" style="36" customWidth="1"/>
    <col min="15368" max="15368" width="3.28515625" style="36" customWidth="1"/>
    <col min="15369" max="15369" width="6.42578125" style="36" customWidth="1"/>
    <col min="15370" max="15370" width="3.28515625" style="36" customWidth="1"/>
    <col min="15371" max="15371" width="11.42578125" style="36" customWidth="1"/>
    <col min="15372" max="15372" width="3.28515625" style="36" customWidth="1"/>
    <col min="15373" max="15373" width="8.28515625" style="36" customWidth="1"/>
    <col min="15374" max="15374" width="3.28515625" style="36" customWidth="1"/>
    <col min="15375" max="15375" width="11.42578125" style="36" customWidth="1"/>
    <col min="15376" max="15376" width="8.5703125" style="36" customWidth="1"/>
    <col min="15377" max="15378" width="0.42578125" style="36" customWidth="1"/>
    <col min="15379" max="15379" width="9.140625" style="36" customWidth="1"/>
    <col min="15380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3.28515625" style="36" customWidth="1"/>
    <col min="15621" max="15621" width="12.140625" style="36" customWidth="1"/>
    <col min="15622" max="15622" width="3.28515625" style="36" customWidth="1"/>
    <col min="15623" max="15623" width="7.5703125" style="36" customWidth="1"/>
    <col min="15624" max="15624" width="3.28515625" style="36" customWidth="1"/>
    <col min="15625" max="15625" width="6.42578125" style="36" customWidth="1"/>
    <col min="15626" max="15626" width="3.28515625" style="36" customWidth="1"/>
    <col min="15627" max="15627" width="11.42578125" style="36" customWidth="1"/>
    <col min="15628" max="15628" width="3.28515625" style="36" customWidth="1"/>
    <col min="15629" max="15629" width="8.28515625" style="36" customWidth="1"/>
    <col min="15630" max="15630" width="3.28515625" style="36" customWidth="1"/>
    <col min="15631" max="15631" width="11.42578125" style="36" customWidth="1"/>
    <col min="15632" max="15632" width="8.5703125" style="36" customWidth="1"/>
    <col min="15633" max="15634" width="0.42578125" style="36" customWidth="1"/>
    <col min="15635" max="15635" width="9.140625" style="36" customWidth="1"/>
    <col min="15636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3.28515625" style="36" customWidth="1"/>
    <col min="15877" max="15877" width="12.140625" style="36" customWidth="1"/>
    <col min="15878" max="15878" width="3.28515625" style="36" customWidth="1"/>
    <col min="15879" max="15879" width="7.5703125" style="36" customWidth="1"/>
    <col min="15880" max="15880" width="3.28515625" style="36" customWidth="1"/>
    <col min="15881" max="15881" width="6.42578125" style="36" customWidth="1"/>
    <col min="15882" max="15882" width="3.28515625" style="36" customWidth="1"/>
    <col min="15883" max="15883" width="11.42578125" style="36" customWidth="1"/>
    <col min="15884" max="15884" width="3.28515625" style="36" customWidth="1"/>
    <col min="15885" max="15885" width="8.28515625" style="36" customWidth="1"/>
    <col min="15886" max="15886" width="3.28515625" style="36" customWidth="1"/>
    <col min="15887" max="15887" width="11.42578125" style="36" customWidth="1"/>
    <col min="15888" max="15888" width="8.5703125" style="36" customWidth="1"/>
    <col min="15889" max="15890" width="0.42578125" style="36" customWidth="1"/>
    <col min="15891" max="15891" width="9.140625" style="36" customWidth="1"/>
    <col min="15892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3.28515625" style="36" customWidth="1"/>
    <col min="16133" max="16133" width="12.140625" style="36" customWidth="1"/>
    <col min="16134" max="16134" width="3.28515625" style="36" customWidth="1"/>
    <col min="16135" max="16135" width="7.5703125" style="36" customWidth="1"/>
    <col min="16136" max="16136" width="3.28515625" style="36" customWidth="1"/>
    <col min="16137" max="16137" width="6.42578125" style="36" customWidth="1"/>
    <col min="16138" max="16138" width="3.28515625" style="36" customWidth="1"/>
    <col min="16139" max="16139" width="11.42578125" style="36" customWidth="1"/>
    <col min="16140" max="16140" width="3.28515625" style="36" customWidth="1"/>
    <col min="16141" max="16141" width="8.28515625" style="36" customWidth="1"/>
    <col min="16142" max="16142" width="3.28515625" style="36" customWidth="1"/>
    <col min="16143" max="16143" width="11.42578125" style="36" customWidth="1"/>
    <col min="16144" max="16144" width="8.5703125" style="36" customWidth="1"/>
    <col min="16145" max="16146" width="0.42578125" style="36" customWidth="1"/>
    <col min="16147" max="16147" width="9.140625" style="36" customWidth="1"/>
    <col min="16148" max="16384" width="13.28515625" style="36"/>
  </cols>
  <sheetData>
    <row r="1" spans="3:17" ht="2.1" customHeight="1" x14ac:dyDescent="0.2">
      <c r="Q1" s="36" t="s">
        <v>46</v>
      </c>
    </row>
    <row r="2" spans="3:17" ht="19.899999999999999" customHeight="1" x14ac:dyDescent="0.2"/>
    <row r="3" spans="3:17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</row>
    <row r="4" spans="3:17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</row>
    <row r="5" spans="3:17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</row>
    <row r="6" spans="3:17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</row>
    <row r="7" spans="3:17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</row>
    <row r="8" spans="3:17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39"/>
    </row>
    <row r="9" spans="3:17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3:17" ht="21.6" customHeight="1" x14ac:dyDescent="0.3">
      <c r="C10" s="40" t="s">
        <v>88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1"/>
    </row>
    <row r="11" spans="3:17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3:17" ht="1.35" customHeight="1" x14ac:dyDescent="0.2">
      <c r="E12" s="78" t="s">
        <v>49</v>
      </c>
      <c r="F12" s="78"/>
    </row>
    <row r="13" spans="3:17" ht="12.75" customHeight="1" x14ac:dyDescent="0.2">
      <c r="C13" s="60"/>
      <c r="D13" s="60"/>
      <c r="E13" s="79" t="s">
        <v>49</v>
      </c>
      <c r="F13" s="79"/>
      <c r="G13" s="60"/>
      <c r="H13" s="60"/>
      <c r="I13" s="60"/>
      <c r="J13" s="60"/>
      <c r="K13" s="60"/>
      <c r="L13" s="60"/>
      <c r="M13" s="60"/>
      <c r="N13" s="60"/>
      <c r="O13" s="60"/>
    </row>
    <row r="14" spans="3:17" ht="24" x14ac:dyDescent="0.2">
      <c r="C14" s="61" t="s">
        <v>89</v>
      </c>
      <c r="D14" s="61"/>
      <c r="E14" s="80" t="s">
        <v>90</v>
      </c>
      <c r="F14" s="80"/>
      <c r="G14" s="61" t="s">
        <v>69</v>
      </c>
      <c r="H14" s="61"/>
      <c r="I14" s="61" t="s">
        <v>91</v>
      </c>
      <c r="J14" s="61"/>
      <c r="K14" s="61" t="s">
        <v>92</v>
      </c>
      <c r="L14" s="61"/>
      <c r="M14" s="61" t="s">
        <v>93</v>
      </c>
      <c r="N14" s="61"/>
      <c r="O14" s="61" t="s">
        <v>94</v>
      </c>
    </row>
    <row r="15" spans="3:17" x14ac:dyDescent="0.2">
      <c r="C15" s="62"/>
      <c r="D15" s="62"/>
      <c r="E15" s="81" t="s">
        <v>49</v>
      </c>
      <c r="F15" s="81"/>
      <c r="G15" s="62"/>
      <c r="H15" s="62"/>
      <c r="I15" s="62"/>
      <c r="J15" s="62"/>
      <c r="K15" s="62"/>
      <c r="L15" s="62"/>
      <c r="M15" s="62"/>
      <c r="N15" s="62"/>
      <c r="O15" s="62"/>
    </row>
    <row r="16" spans="3:17" x14ac:dyDescent="0.2">
      <c r="C16" s="62"/>
      <c r="D16" s="63"/>
      <c r="E16" s="82" t="s">
        <v>49</v>
      </c>
      <c r="F16" s="82"/>
      <c r="G16" s="63"/>
      <c r="H16" s="63"/>
      <c r="I16" s="63"/>
      <c r="J16" s="63"/>
      <c r="K16" s="63"/>
      <c r="L16" s="63"/>
      <c r="M16" s="63"/>
      <c r="N16" s="63"/>
      <c r="O16" s="62"/>
    </row>
    <row r="17" spans="3:15" x14ac:dyDescent="0.2">
      <c r="C17" s="64">
        <v>41671</v>
      </c>
      <c r="D17" s="65"/>
      <c r="E17" s="82" t="s">
        <v>95</v>
      </c>
      <c r="F17" s="82"/>
      <c r="G17" s="67">
        <v>0.875</v>
      </c>
      <c r="H17" s="67"/>
      <c r="I17" s="67">
        <v>0.875</v>
      </c>
      <c r="J17" s="67"/>
      <c r="K17" s="66">
        <v>120000</v>
      </c>
      <c r="L17" s="66"/>
      <c r="M17" s="67">
        <v>100</v>
      </c>
      <c r="N17" s="67"/>
      <c r="O17" s="68">
        <v>120000</v>
      </c>
    </row>
    <row r="18" spans="3:15" ht="10.9" customHeight="1" x14ac:dyDescent="0.2">
      <c r="C18" s="64">
        <v>42401</v>
      </c>
      <c r="D18" s="65"/>
      <c r="E18" s="82" t="s">
        <v>96</v>
      </c>
      <c r="F18" s="82"/>
      <c r="G18" s="67">
        <v>1.375</v>
      </c>
      <c r="H18" s="67"/>
      <c r="I18" s="67">
        <v>1.375</v>
      </c>
      <c r="J18" s="67"/>
      <c r="K18" s="66">
        <v>120000</v>
      </c>
      <c r="L18" s="66"/>
      <c r="M18" s="67">
        <v>100</v>
      </c>
      <c r="N18" s="67"/>
      <c r="O18" s="68">
        <v>120000</v>
      </c>
    </row>
    <row r="19" spans="3:15" ht="10.9" customHeight="1" x14ac:dyDescent="0.2">
      <c r="C19" s="64">
        <v>43132</v>
      </c>
      <c r="D19" s="65"/>
      <c r="E19" s="82" t="s">
        <v>97</v>
      </c>
      <c r="F19" s="82"/>
      <c r="G19" s="67">
        <v>1.875</v>
      </c>
      <c r="H19" s="67"/>
      <c r="I19" s="67">
        <v>1.875</v>
      </c>
      <c r="J19" s="67"/>
      <c r="K19" s="66">
        <v>120000</v>
      </c>
      <c r="L19" s="66"/>
      <c r="M19" s="67">
        <v>100</v>
      </c>
      <c r="N19" s="67"/>
      <c r="O19" s="68">
        <v>120000</v>
      </c>
    </row>
    <row r="20" spans="3:15" ht="10.9" customHeight="1" x14ac:dyDescent="0.2">
      <c r="C20" s="64">
        <v>43862</v>
      </c>
      <c r="D20" s="65"/>
      <c r="E20" s="82" t="s">
        <v>98</v>
      </c>
      <c r="F20" s="82"/>
      <c r="G20" s="67">
        <v>2.375</v>
      </c>
      <c r="H20" s="67"/>
      <c r="I20" s="67">
        <v>2.375</v>
      </c>
      <c r="J20" s="67"/>
      <c r="K20" s="66">
        <v>120000</v>
      </c>
      <c r="L20" s="66"/>
      <c r="M20" s="67">
        <v>100</v>
      </c>
      <c r="N20" s="67"/>
      <c r="O20" s="68">
        <v>120000</v>
      </c>
    </row>
    <row r="21" spans="3:15" ht="10.9" customHeight="1" x14ac:dyDescent="0.2">
      <c r="C21" s="64">
        <v>44593</v>
      </c>
      <c r="D21" s="64"/>
      <c r="E21" s="81" t="s">
        <v>99</v>
      </c>
      <c r="F21" s="81"/>
      <c r="G21" s="69">
        <v>2.625</v>
      </c>
      <c r="H21" s="69"/>
      <c r="I21" s="69">
        <v>2.625</v>
      </c>
      <c r="J21" s="69"/>
      <c r="K21" s="68">
        <v>115000</v>
      </c>
      <c r="L21" s="68"/>
      <c r="M21" s="69">
        <v>100</v>
      </c>
      <c r="N21" s="69"/>
      <c r="O21" s="68">
        <v>115000</v>
      </c>
    </row>
    <row r="22" spans="3:15" ht="10.9" customHeight="1" x14ac:dyDescent="0.2">
      <c r="C22" s="64">
        <v>45323</v>
      </c>
      <c r="D22" s="65"/>
      <c r="E22" s="82" t="s">
        <v>100</v>
      </c>
      <c r="F22" s="82"/>
      <c r="G22" s="67">
        <v>3</v>
      </c>
      <c r="H22" s="67"/>
      <c r="I22" s="67">
        <v>3</v>
      </c>
      <c r="J22" s="67"/>
      <c r="K22" s="66">
        <v>110000</v>
      </c>
      <c r="L22" s="66"/>
      <c r="M22" s="67">
        <v>100</v>
      </c>
      <c r="N22" s="67"/>
      <c r="O22" s="68">
        <v>110000</v>
      </c>
    </row>
    <row r="23" spans="3:15" ht="10.9" customHeight="1" x14ac:dyDescent="0.2">
      <c r="C23" s="64">
        <v>46054</v>
      </c>
      <c r="D23" s="65"/>
      <c r="E23" s="82" t="s">
        <v>101</v>
      </c>
      <c r="F23" s="82"/>
      <c r="G23" s="67">
        <v>3.25</v>
      </c>
      <c r="H23" s="67"/>
      <c r="I23" s="67">
        <v>3.25</v>
      </c>
      <c r="J23" s="67"/>
      <c r="K23" s="66">
        <v>110000</v>
      </c>
      <c r="L23" s="66"/>
      <c r="M23" s="67">
        <v>100</v>
      </c>
      <c r="N23" s="67"/>
      <c r="O23" s="68">
        <v>110000</v>
      </c>
    </row>
    <row r="24" spans="3:15" ht="10.9" customHeight="1" x14ac:dyDescent="0.2">
      <c r="C24" s="64">
        <v>46784</v>
      </c>
      <c r="D24" s="65"/>
      <c r="E24" s="82" t="s">
        <v>102</v>
      </c>
      <c r="F24" s="82"/>
      <c r="G24" s="67">
        <v>3.5</v>
      </c>
      <c r="H24" s="67"/>
      <c r="I24" s="67">
        <v>3.5</v>
      </c>
      <c r="J24" s="67"/>
      <c r="K24" s="66">
        <v>120000</v>
      </c>
      <c r="L24" s="66"/>
      <c r="M24" s="67">
        <v>100</v>
      </c>
      <c r="N24" s="67"/>
      <c r="O24" s="68">
        <v>120000</v>
      </c>
    </row>
    <row r="25" spans="3:15" ht="10.9" customHeight="1" x14ac:dyDescent="0.2">
      <c r="C25" s="64">
        <v>47515</v>
      </c>
      <c r="D25" s="65"/>
      <c r="E25" s="82" t="s">
        <v>103</v>
      </c>
      <c r="F25" s="82"/>
      <c r="G25" s="67">
        <v>3.75</v>
      </c>
      <c r="H25" s="67"/>
      <c r="I25" s="67">
        <v>3.75</v>
      </c>
      <c r="J25" s="67"/>
      <c r="K25" s="66">
        <v>120000</v>
      </c>
      <c r="L25" s="66"/>
      <c r="M25" s="67">
        <v>100</v>
      </c>
      <c r="N25" s="67"/>
      <c r="O25" s="68">
        <v>120000</v>
      </c>
    </row>
    <row r="26" spans="3:15" ht="1.35" customHeight="1" x14ac:dyDescent="0.2">
      <c r="C26" s="62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2"/>
    </row>
    <row r="27" spans="3:15" ht="1.35" customHeight="1" x14ac:dyDescent="0.2"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</row>
    <row r="28" spans="3:15" ht="12.75" customHeight="1" x14ac:dyDescent="0.2">
      <c r="C28" s="70">
        <v>0</v>
      </c>
      <c r="D28" s="70"/>
      <c r="E28" s="72">
        <v>0</v>
      </c>
      <c r="F28" s="72"/>
      <c r="G28" s="72">
        <v>0</v>
      </c>
      <c r="H28" s="72"/>
      <c r="I28" s="72">
        <v>0</v>
      </c>
      <c r="J28" s="72"/>
      <c r="K28" s="71">
        <v>1055000</v>
      </c>
      <c r="L28" s="71"/>
      <c r="M28" s="72">
        <v>0</v>
      </c>
      <c r="N28" s="72"/>
      <c r="O28" s="71">
        <v>1055000</v>
      </c>
    </row>
    <row r="29" spans="3:15" ht="1.35" customHeight="1" x14ac:dyDescent="0.2"/>
    <row r="30" spans="3:15" ht="10.9" customHeight="1" x14ac:dyDescent="0.2"/>
    <row r="31" spans="3:15" ht="10.9" customHeight="1" x14ac:dyDescent="0.2">
      <c r="C31" s="44" t="s">
        <v>104</v>
      </c>
      <c r="D31" s="44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45" t="s">
        <v>49</v>
      </c>
    </row>
    <row r="32" spans="3:15" ht="10.9" customHeight="1" x14ac:dyDescent="0.2">
      <c r="C32" s="74" t="s">
        <v>46</v>
      </c>
      <c r="D32" s="74"/>
      <c r="O32" s="75" t="s">
        <v>49</v>
      </c>
    </row>
    <row r="33" spans="3:15" ht="10.9" customHeight="1" x14ac:dyDescent="0.2">
      <c r="C33" s="46" t="s">
        <v>54</v>
      </c>
      <c r="D33" s="46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47">
        <v>1055000</v>
      </c>
    </row>
    <row r="34" spans="3:15" ht="10.9" customHeight="1" x14ac:dyDescent="0.2">
      <c r="C34" s="46" t="s">
        <v>105</v>
      </c>
      <c r="D34" s="46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47">
        <v>1055000</v>
      </c>
    </row>
    <row r="35" spans="3:15" ht="10.9" customHeight="1" x14ac:dyDescent="0.2">
      <c r="C35" s="49" t="s">
        <v>46</v>
      </c>
      <c r="D35" s="74"/>
      <c r="O35" s="50" t="s">
        <v>49</v>
      </c>
    </row>
    <row r="36" spans="3:15" ht="10.9" customHeight="1" x14ac:dyDescent="0.2">
      <c r="C36" s="46" t="s">
        <v>59</v>
      </c>
      <c r="D36" s="46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47">
        <v>-10022.5</v>
      </c>
    </row>
    <row r="37" spans="3:15" ht="10.9" customHeight="1" x14ac:dyDescent="0.2">
      <c r="C37" s="46" t="s">
        <v>106</v>
      </c>
      <c r="D37" s="46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48">
        <v>1044977.5</v>
      </c>
    </row>
    <row r="38" spans="3:15" ht="10.9" customHeight="1" x14ac:dyDescent="0.2">
      <c r="C38" s="49" t="s">
        <v>46</v>
      </c>
      <c r="D38" s="74"/>
      <c r="O38" s="50" t="s">
        <v>49</v>
      </c>
    </row>
    <row r="39" spans="3:15" ht="10.9" customHeight="1" x14ac:dyDescent="0.2">
      <c r="C39" s="46" t="s">
        <v>107</v>
      </c>
      <c r="D39" s="46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47">
        <v>1044977.5</v>
      </c>
    </row>
    <row r="40" spans="3:15" ht="10.9" customHeight="1" x14ac:dyDescent="0.2">
      <c r="C40" s="49" t="s">
        <v>46</v>
      </c>
      <c r="D40" s="74"/>
      <c r="O40" s="50" t="s">
        <v>49</v>
      </c>
    </row>
    <row r="41" spans="3:15" ht="10.9" customHeight="1" x14ac:dyDescent="0.2">
      <c r="C41" s="46" t="s">
        <v>74</v>
      </c>
      <c r="D41" s="46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47">
        <v>11372.527777777799</v>
      </c>
    </row>
    <row r="42" spans="3:15" ht="10.9" customHeight="1" x14ac:dyDescent="0.2">
      <c r="C42" s="46" t="s">
        <v>75</v>
      </c>
      <c r="D42" s="46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76">
        <v>10.7796471827278</v>
      </c>
    </row>
    <row r="43" spans="3:15" ht="10.9" customHeight="1" x14ac:dyDescent="0.2">
      <c r="C43" s="46" t="s">
        <v>76</v>
      </c>
      <c r="D43" s="46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77">
        <v>2.9466922969827398</v>
      </c>
    </row>
    <row r="44" spans="3:15" ht="10.9" customHeight="1" x14ac:dyDescent="0.2">
      <c r="C44" s="49" t="s">
        <v>46</v>
      </c>
      <c r="D44" s="74"/>
      <c r="O44" s="50" t="s">
        <v>49</v>
      </c>
    </row>
    <row r="45" spans="3:15" ht="10.9" customHeight="1" x14ac:dyDescent="0.2">
      <c r="C45" s="46" t="s">
        <v>77</v>
      </c>
      <c r="D45" s="46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77">
        <v>3.0348213409019298</v>
      </c>
    </row>
    <row r="46" spans="3:15" ht="10.9" customHeight="1" x14ac:dyDescent="0.2">
      <c r="C46" s="46" t="s">
        <v>78</v>
      </c>
      <c r="D46" s="46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77">
        <v>3.0034442166117699</v>
      </c>
    </row>
    <row r="47" spans="3:15" ht="31.9" customHeight="1" x14ac:dyDescent="0.2"/>
    <row r="48" spans="3:15" ht="191.45" customHeight="1" x14ac:dyDescent="0.2"/>
    <row r="49" spans="1:15" ht="12.75" customHeight="1" x14ac:dyDescent="0.2">
      <c r="C49" s="54" t="s">
        <v>63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</row>
    <row r="50" spans="1:15" ht="12.75" customHeight="1" x14ac:dyDescent="0.3"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</row>
    <row r="51" spans="1:15" ht="18.75" customHeight="1" x14ac:dyDescent="0.3">
      <c r="C51" s="56" t="s">
        <v>0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2.75" customHeight="1" x14ac:dyDescent="0.2">
      <c r="C52" s="57" t="s">
        <v>64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 t="s">
        <v>108</v>
      </c>
    </row>
    <row r="54" spans="1:15" ht="2.1" customHeight="1" x14ac:dyDescent="0.2">
      <c r="A54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M73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8.28515625" style="36" customWidth="1"/>
    <col min="5" max="5" width="11.42578125" style="36" customWidth="1"/>
    <col min="6" max="6" width="8.28515625" style="36" customWidth="1"/>
    <col min="7" max="7" width="9.5703125" style="36" customWidth="1"/>
    <col min="8" max="8" width="8.28515625" style="36" customWidth="1"/>
    <col min="9" max="9" width="11.42578125" style="36" customWidth="1"/>
    <col min="10" max="10" width="8.28515625" style="36" customWidth="1"/>
    <col min="11" max="11" width="11.42578125" style="36" customWidth="1"/>
    <col min="12" max="12" width="8.5703125" style="36" customWidth="1"/>
    <col min="13" max="14" width="0.42578125" style="36" customWidth="1"/>
    <col min="15" max="15" width="9.140625" style="36" customWidth="1"/>
    <col min="16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8.28515625" style="36" customWidth="1"/>
    <col min="261" max="261" width="11.42578125" style="36" customWidth="1"/>
    <col min="262" max="262" width="8.28515625" style="36" customWidth="1"/>
    <col min="263" max="263" width="9.5703125" style="36" customWidth="1"/>
    <col min="264" max="264" width="8.28515625" style="36" customWidth="1"/>
    <col min="265" max="265" width="11.42578125" style="36" customWidth="1"/>
    <col min="266" max="266" width="8.28515625" style="36" customWidth="1"/>
    <col min="267" max="267" width="11.42578125" style="36" customWidth="1"/>
    <col min="268" max="268" width="8.5703125" style="36" customWidth="1"/>
    <col min="269" max="270" width="0.42578125" style="36" customWidth="1"/>
    <col min="271" max="271" width="9.140625" style="36" customWidth="1"/>
    <col min="272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8.28515625" style="36" customWidth="1"/>
    <col min="517" max="517" width="11.42578125" style="36" customWidth="1"/>
    <col min="518" max="518" width="8.28515625" style="36" customWidth="1"/>
    <col min="519" max="519" width="9.5703125" style="36" customWidth="1"/>
    <col min="520" max="520" width="8.28515625" style="36" customWidth="1"/>
    <col min="521" max="521" width="11.42578125" style="36" customWidth="1"/>
    <col min="522" max="522" width="8.28515625" style="36" customWidth="1"/>
    <col min="523" max="523" width="11.42578125" style="36" customWidth="1"/>
    <col min="524" max="524" width="8.5703125" style="36" customWidth="1"/>
    <col min="525" max="526" width="0.42578125" style="36" customWidth="1"/>
    <col min="527" max="527" width="9.140625" style="36" customWidth="1"/>
    <col min="528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8.28515625" style="36" customWidth="1"/>
    <col min="773" max="773" width="11.42578125" style="36" customWidth="1"/>
    <col min="774" max="774" width="8.28515625" style="36" customWidth="1"/>
    <col min="775" max="775" width="9.5703125" style="36" customWidth="1"/>
    <col min="776" max="776" width="8.28515625" style="36" customWidth="1"/>
    <col min="777" max="777" width="11.42578125" style="36" customWidth="1"/>
    <col min="778" max="778" width="8.28515625" style="36" customWidth="1"/>
    <col min="779" max="779" width="11.42578125" style="36" customWidth="1"/>
    <col min="780" max="780" width="8.5703125" style="36" customWidth="1"/>
    <col min="781" max="782" width="0.42578125" style="36" customWidth="1"/>
    <col min="783" max="783" width="9.140625" style="36" customWidth="1"/>
    <col min="784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8.28515625" style="36" customWidth="1"/>
    <col min="1029" max="1029" width="11.42578125" style="36" customWidth="1"/>
    <col min="1030" max="1030" width="8.28515625" style="36" customWidth="1"/>
    <col min="1031" max="1031" width="9.5703125" style="36" customWidth="1"/>
    <col min="1032" max="1032" width="8.28515625" style="36" customWidth="1"/>
    <col min="1033" max="1033" width="11.42578125" style="36" customWidth="1"/>
    <col min="1034" max="1034" width="8.28515625" style="36" customWidth="1"/>
    <col min="1035" max="1035" width="11.42578125" style="36" customWidth="1"/>
    <col min="1036" max="1036" width="8.5703125" style="36" customWidth="1"/>
    <col min="1037" max="1038" width="0.42578125" style="36" customWidth="1"/>
    <col min="1039" max="1039" width="9.140625" style="36" customWidth="1"/>
    <col min="1040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8.28515625" style="36" customWidth="1"/>
    <col min="1285" max="1285" width="11.42578125" style="36" customWidth="1"/>
    <col min="1286" max="1286" width="8.28515625" style="36" customWidth="1"/>
    <col min="1287" max="1287" width="9.5703125" style="36" customWidth="1"/>
    <col min="1288" max="1288" width="8.28515625" style="36" customWidth="1"/>
    <col min="1289" max="1289" width="11.42578125" style="36" customWidth="1"/>
    <col min="1290" max="1290" width="8.28515625" style="36" customWidth="1"/>
    <col min="1291" max="1291" width="11.42578125" style="36" customWidth="1"/>
    <col min="1292" max="1292" width="8.5703125" style="36" customWidth="1"/>
    <col min="1293" max="1294" width="0.42578125" style="36" customWidth="1"/>
    <col min="1295" max="1295" width="9.140625" style="36" customWidth="1"/>
    <col min="1296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8.28515625" style="36" customWidth="1"/>
    <col min="1541" max="1541" width="11.42578125" style="36" customWidth="1"/>
    <col min="1542" max="1542" width="8.28515625" style="36" customWidth="1"/>
    <col min="1543" max="1543" width="9.5703125" style="36" customWidth="1"/>
    <col min="1544" max="1544" width="8.28515625" style="36" customWidth="1"/>
    <col min="1545" max="1545" width="11.42578125" style="36" customWidth="1"/>
    <col min="1546" max="1546" width="8.28515625" style="36" customWidth="1"/>
    <col min="1547" max="1547" width="11.42578125" style="36" customWidth="1"/>
    <col min="1548" max="1548" width="8.5703125" style="36" customWidth="1"/>
    <col min="1549" max="1550" width="0.42578125" style="36" customWidth="1"/>
    <col min="1551" max="1551" width="9.140625" style="36" customWidth="1"/>
    <col min="1552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8.28515625" style="36" customWidth="1"/>
    <col min="1797" max="1797" width="11.42578125" style="36" customWidth="1"/>
    <col min="1798" max="1798" width="8.28515625" style="36" customWidth="1"/>
    <col min="1799" max="1799" width="9.5703125" style="36" customWidth="1"/>
    <col min="1800" max="1800" width="8.28515625" style="36" customWidth="1"/>
    <col min="1801" max="1801" width="11.42578125" style="36" customWidth="1"/>
    <col min="1802" max="1802" width="8.28515625" style="36" customWidth="1"/>
    <col min="1803" max="1803" width="11.42578125" style="36" customWidth="1"/>
    <col min="1804" max="1804" width="8.5703125" style="36" customWidth="1"/>
    <col min="1805" max="1806" width="0.42578125" style="36" customWidth="1"/>
    <col min="1807" max="1807" width="9.140625" style="36" customWidth="1"/>
    <col min="1808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8.28515625" style="36" customWidth="1"/>
    <col min="2053" max="2053" width="11.42578125" style="36" customWidth="1"/>
    <col min="2054" max="2054" width="8.28515625" style="36" customWidth="1"/>
    <col min="2055" max="2055" width="9.5703125" style="36" customWidth="1"/>
    <col min="2056" max="2056" width="8.28515625" style="36" customWidth="1"/>
    <col min="2057" max="2057" width="11.42578125" style="36" customWidth="1"/>
    <col min="2058" max="2058" width="8.28515625" style="36" customWidth="1"/>
    <col min="2059" max="2059" width="11.42578125" style="36" customWidth="1"/>
    <col min="2060" max="2060" width="8.5703125" style="36" customWidth="1"/>
    <col min="2061" max="2062" width="0.42578125" style="36" customWidth="1"/>
    <col min="2063" max="2063" width="9.140625" style="36" customWidth="1"/>
    <col min="2064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8.28515625" style="36" customWidth="1"/>
    <col min="2309" max="2309" width="11.42578125" style="36" customWidth="1"/>
    <col min="2310" max="2310" width="8.28515625" style="36" customWidth="1"/>
    <col min="2311" max="2311" width="9.5703125" style="36" customWidth="1"/>
    <col min="2312" max="2312" width="8.28515625" style="36" customWidth="1"/>
    <col min="2313" max="2313" width="11.42578125" style="36" customWidth="1"/>
    <col min="2314" max="2314" width="8.28515625" style="36" customWidth="1"/>
    <col min="2315" max="2315" width="11.42578125" style="36" customWidth="1"/>
    <col min="2316" max="2316" width="8.5703125" style="36" customWidth="1"/>
    <col min="2317" max="2318" width="0.42578125" style="36" customWidth="1"/>
    <col min="2319" max="2319" width="9.140625" style="36" customWidth="1"/>
    <col min="2320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8.28515625" style="36" customWidth="1"/>
    <col min="2565" max="2565" width="11.42578125" style="36" customWidth="1"/>
    <col min="2566" max="2566" width="8.28515625" style="36" customWidth="1"/>
    <col min="2567" max="2567" width="9.5703125" style="36" customWidth="1"/>
    <col min="2568" max="2568" width="8.28515625" style="36" customWidth="1"/>
    <col min="2569" max="2569" width="11.42578125" style="36" customWidth="1"/>
    <col min="2570" max="2570" width="8.28515625" style="36" customWidth="1"/>
    <col min="2571" max="2571" width="11.42578125" style="36" customWidth="1"/>
    <col min="2572" max="2572" width="8.5703125" style="36" customWidth="1"/>
    <col min="2573" max="2574" width="0.42578125" style="36" customWidth="1"/>
    <col min="2575" max="2575" width="9.140625" style="36" customWidth="1"/>
    <col min="2576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8.28515625" style="36" customWidth="1"/>
    <col min="2821" max="2821" width="11.42578125" style="36" customWidth="1"/>
    <col min="2822" max="2822" width="8.28515625" style="36" customWidth="1"/>
    <col min="2823" max="2823" width="9.5703125" style="36" customWidth="1"/>
    <col min="2824" max="2824" width="8.28515625" style="36" customWidth="1"/>
    <col min="2825" max="2825" width="11.42578125" style="36" customWidth="1"/>
    <col min="2826" max="2826" width="8.28515625" style="36" customWidth="1"/>
    <col min="2827" max="2827" width="11.42578125" style="36" customWidth="1"/>
    <col min="2828" max="2828" width="8.5703125" style="36" customWidth="1"/>
    <col min="2829" max="2830" width="0.42578125" style="36" customWidth="1"/>
    <col min="2831" max="2831" width="9.140625" style="36" customWidth="1"/>
    <col min="2832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8.28515625" style="36" customWidth="1"/>
    <col min="3077" max="3077" width="11.42578125" style="36" customWidth="1"/>
    <col min="3078" max="3078" width="8.28515625" style="36" customWidth="1"/>
    <col min="3079" max="3079" width="9.5703125" style="36" customWidth="1"/>
    <col min="3080" max="3080" width="8.28515625" style="36" customWidth="1"/>
    <col min="3081" max="3081" width="11.42578125" style="36" customWidth="1"/>
    <col min="3082" max="3082" width="8.28515625" style="36" customWidth="1"/>
    <col min="3083" max="3083" width="11.42578125" style="36" customWidth="1"/>
    <col min="3084" max="3084" width="8.5703125" style="36" customWidth="1"/>
    <col min="3085" max="3086" width="0.42578125" style="36" customWidth="1"/>
    <col min="3087" max="3087" width="9.140625" style="36" customWidth="1"/>
    <col min="3088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8.28515625" style="36" customWidth="1"/>
    <col min="3333" max="3333" width="11.42578125" style="36" customWidth="1"/>
    <col min="3334" max="3334" width="8.28515625" style="36" customWidth="1"/>
    <col min="3335" max="3335" width="9.5703125" style="36" customWidth="1"/>
    <col min="3336" max="3336" width="8.28515625" style="36" customWidth="1"/>
    <col min="3337" max="3337" width="11.42578125" style="36" customWidth="1"/>
    <col min="3338" max="3338" width="8.28515625" style="36" customWidth="1"/>
    <col min="3339" max="3339" width="11.42578125" style="36" customWidth="1"/>
    <col min="3340" max="3340" width="8.5703125" style="36" customWidth="1"/>
    <col min="3341" max="3342" width="0.42578125" style="36" customWidth="1"/>
    <col min="3343" max="3343" width="9.140625" style="36" customWidth="1"/>
    <col min="3344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8.28515625" style="36" customWidth="1"/>
    <col min="3589" max="3589" width="11.42578125" style="36" customWidth="1"/>
    <col min="3590" max="3590" width="8.28515625" style="36" customWidth="1"/>
    <col min="3591" max="3591" width="9.5703125" style="36" customWidth="1"/>
    <col min="3592" max="3592" width="8.28515625" style="36" customWidth="1"/>
    <col min="3593" max="3593" width="11.42578125" style="36" customWidth="1"/>
    <col min="3594" max="3594" width="8.28515625" style="36" customWidth="1"/>
    <col min="3595" max="3595" width="11.42578125" style="36" customWidth="1"/>
    <col min="3596" max="3596" width="8.5703125" style="36" customWidth="1"/>
    <col min="3597" max="3598" width="0.42578125" style="36" customWidth="1"/>
    <col min="3599" max="3599" width="9.140625" style="36" customWidth="1"/>
    <col min="3600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8.28515625" style="36" customWidth="1"/>
    <col min="3845" max="3845" width="11.42578125" style="36" customWidth="1"/>
    <col min="3846" max="3846" width="8.28515625" style="36" customWidth="1"/>
    <col min="3847" max="3847" width="9.5703125" style="36" customWidth="1"/>
    <col min="3848" max="3848" width="8.28515625" style="36" customWidth="1"/>
    <col min="3849" max="3849" width="11.42578125" style="36" customWidth="1"/>
    <col min="3850" max="3850" width="8.28515625" style="36" customWidth="1"/>
    <col min="3851" max="3851" width="11.42578125" style="36" customWidth="1"/>
    <col min="3852" max="3852" width="8.5703125" style="36" customWidth="1"/>
    <col min="3853" max="3854" width="0.42578125" style="36" customWidth="1"/>
    <col min="3855" max="3855" width="9.140625" style="36" customWidth="1"/>
    <col min="3856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8.28515625" style="36" customWidth="1"/>
    <col min="4101" max="4101" width="11.42578125" style="36" customWidth="1"/>
    <col min="4102" max="4102" width="8.28515625" style="36" customWidth="1"/>
    <col min="4103" max="4103" width="9.5703125" style="36" customWidth="1"/>
    <col min="4104" max="4104" width="8.28515625" style="36" customWidth="1"/>
    <col min="4105" max="4105" width="11.42578125" style="36" customWidth="1"/>
    <col min="4106" max="4106" width="8.28515625" style="36" customWidth="1"/>
    <col min="4107" max="4107" width="11.42578125" style="36" customWidth="1"/>
    <col min="4108" max="4108" width="8.5703125" style="36" customWidth="1"/>
    <col min="4109" max="4110" width="0.42578125" style="36" customWidth="1"/>
    <col min="4111" max="4111" width="9.140625" style="36" customWidth="1"/>
    <col min="4112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8.28515625" style="36" customWidth="1"/>
    <col min="4357" max="4357" width="11.42578125" style="36" customWidth="1"/>
    <col min="4358" max="4358" width="8.28515625" style="36" customWidth="1"/>
    <col min="4359" max="4359" width="9.5703125" style="36" customWidth="1"/>
    <col min="4360" max="4360" width="8.28515625" style="36" customWidth="1"/>
    <col min="4361" max="4361" width="11.42578125" style="36" customWidth="1"/>
    <col min="4362" max="4362" width="8.28515625" style="36" customWidth="1"/>
    <col min="4363" max="4363" width="11.42578125" style="36" customWidth="1"/>
    <col min="4364" max="4364" width="8.5703125" style="36" customWidth="1"/>
    <col min="4365" max="4366" width="0.42578125" style="36" customWidth="1"/>
    <col min="4367" max="4367" width="9.140625" style="36" customWidth="1"/>
    <col min="4368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8.28515625" style="36" customWidth="1"/>
    <col min="4613" max="4613" width="11.42578125" style="36" customWidth="1"/>
    <col min="4614" max="4614" width="8.28515625" style="36" customWidth="1"/>
    <col min="4615" max="4615" width="9.5703125" style="36" customWidth="1"/>
    <col min="4616" max="4616" width="8.28515625" style="36" customWidth="1"/>
    <col min="4617" max="4617" width="11.42578125" style="36" customWidth="1"/>
    <col min="4618" max="4618" width="8.28515625" style="36" customWidth="1"/>
    <col min="4619" max="4619" width="11.42578125" style="36" customWidth="1"/>
    <col min="4620" max="4620" width="8.5703125" style="36" customWidth="1"/>
    <col min="4621" max="4622" width="0.42578125" style="36" customWidth="1"/>
    <col min="4623" max="4623" width="9.140625" style="36" customWidth="1"/>
    <col min="4624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8.28515625" style="36" customWidth="1"/>
    <col min="4869" max="4869" width="11.42578125" style="36" customWidth="1"/>
    <col min="4870" max="4870" width="8.28515625" style="36" customWidth="1"/>
    <col min="4871" max="4871" width="9.5703125" style="36" customWidth="1"/>
    <col min="4872" max="4872" width="8.28515625" style="36" customWidth="1"/>
    <col min="4873" max="4873" width="11.42578125" style="36" customWidth="1"/>
    <col min="4874" max="4874" width="8.28515625" style="36" customWidth="1"/>
    <col min="4875" max="4875" width="11.42578125" style="36" customWidth="1"/>
    <col min="4876" max="4876" width="8.5703125" style="36" customWidth="1"/>
    <col min="4877" max="4878" width="0.42578125" style="36" customWidth="1"/>
    <col min="4879" max="4879" width="9.140625" style="36" customWidth="1"/>
    <col min="4880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8.28515625" style="36" customWidth="1"/>
    <col min="5125" max="5125" width="11.42578125" style="36" customWidth="1"/>
    <col min="5126" max="5126" width="8.28515625" style="36" customWidth="1"/>
    <col min="5127" max="5127" width="9.5703125" style="36" customWidth="1"/>
    <col min="5128" max="5128" width="8.28515625" style="36" customWidth="1"/>
    <col min="5129" max="5129" width="11.42578125" style="36" customWidth="1"/>
    <col min="5130" max="5130" width="8.28515625" style="36" customWidth="1"/>
    <col min="5131" max="5131" width="11.42578125" style="36" customWidth="1"/>
    <col min="5132" max="5132" width="8.5703125" style="36" customWidth="1"/>
    <col min="5133" max="5134" width="0.42578125" style="36" customWidth="1"/>
    <col min="5135" max="5135" width="9.140625" style="36" customWidth="1"/>
    <col min="5136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8.28515625" style="36" customWidth="1"/>
    <col min="5381" max="5381" width="11.42578125" style="36" customWidth="1"/>
    <col min="5382" max="5382" width="8.28515625" style="36" customWidth="1"/>
    <col min="5383" max="5383" width="9.5703125" style="36" customWidth="1"/>
    <col min="5384" max="5384" width="8.28515625" style="36" customWidth="1"/>
    <col min="5385" max="5385" width="11.42578125" style="36" customWidth="1"/>
    <col min="5386" max="5386" width="8.28515625" style="36" customWidth="1"/>
    <col min="5387" max="5387" width="11.42578125" style="36" customWidth="1"/>
    <col min="5388" max="5388" width="8.5703125" style="36" customWidth="1"/>
    <col min="5389" max="5390" width="0.42578125" style="36" customWidth="1"/>
    <col min="5391" max="5391" width="9.140625" style="36" customWidth="1"/>
    <col min="5392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8.28515625" style="36" customWidth="1"/>
    <col min="5637" max="5637" width="11.42578125" style="36" customWidth="1"/>
    <col min="5638" max="5638" width="8.28515625" style="36" customWidth="1"/>
    <col min="5639" max="5639" width="9.5703125" style="36" customWidth="1"/>
    <col min="5640" max="5640" width="8.28515625" style="36" customWidth="1"/>
    <col min="5641" max="5641" width="11.42578125" style="36" customWidth="1"/>
    <col min="5642" max="5642" width="8.28515625" style="36" customWidth="1"/>
    <col min="5643" max="5643" width="11.42578125" style="36" customWidth="1"/>
    <col min="5644" max="5644" width="8.5703125" style="36" customWidth="1"/>
    <col min="5645" max="5646" width="0.42578125" style="36" customWidth="1"/>
    <col min="5647" max="5647" width="9.140625" style="36" customWidth="1"/>
    <col min="5648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8.28515625" style="36" customWidth="1"/>
    <col min="5893" max="5893" width="11.42578125" style="36" customWidth="1"/>
    <col min="5894" max="5894" width="8.28515625" style="36" customWidth="1"/>
    <col min="5895" max="5895" width="9.5703125" style="36" customWidth="1"/>
    <col min="5896" max="5896" width="8.28515625" style="36" customWidth="1"/>
    <col min="5897" max="5897" width="11.42578125" style="36" customWidth="1"/>
    <col min="5898" max="5898" width="8.28515625" style="36" customWidth="1"/>
    <col min="5899" max="5899" width="11.42578125" style="36" customWidth="1"/>
    <col min="5900" max="5900" width="8.5703125" style="36" customWidth="1"/>
    <col min="5901" max="5902" width="0.42578125" style="36" customWidth="1"/>
    <col min="5903" max="5903" width="9.140625" style="36" customWidth="1"/>
    <col min="5904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8.28515625" style="36" customWidth="1"/>
    <col min="6149" max="6149" width="11.42578125" style="36" customWidth="1"/>
    <col min="6150" max="6150" width="8.28515625" style="36" customWidth="1"/>
    <col min="6151" max="6151" width="9.5703125" style="36" customWidth="1"/>
    <col min="6152" max="6152" width="8.28515625" style="36" customWidth="1"/>
    <col min="6153" max="6153" width="11.42578125" style="36" customWidth="1"/>
    <col min="6154" max="6154" width="8.28515625" style="36" customWidth="1"/>
    <col min="6155" max="6155" width="11.42578125" style="36" customWidth="1"/>
    <col min="6156" max="6156" width="8.5703125" style="36" customWidth="1"/>
    <col min="6157" max="6158" width="0.42578125" style="36" customWidth="1"/>
    <col min="6159" max="6159" width="9.140625" style="36" customWidth="1"/>
    <col min="6160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8.28515625" style="36" customWidth="1"/>
    <col min="6405" max="6405" width="11.42578125" style="36" customWidth="1"/>
    <col min="6406" max="6406" width="8.28515625" style="36" customWidth="1"/>
    <col min="6407" max="6407" width="9.5703125" style="36" customWidth="1"/>
    <col min="6408" max="6408" width="8.28515625" style="36" customWidth="1"/>
    <col min="6409" max="6409" width="11.42578125" style="36" customWidth="1"/>
    <col min="6410" max="6410" width="8.28515625" style="36" customWidth="1"/>
    <col min="6411" max="6411" width="11.42578125" style="36" customWidth="1"/>
    <col min="6412" max="6412" width="8.5703125" style="36" customWidth="1"/>
    <col min="6413" max="6414" width="0.42578125" style="36" customWidth="1"/>
    <col min="6415" max="6415" width="9.140625" style="36" customWidth="1"/>
    <col min="6416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8.28515625" style="36" customWidth="1"/>
    <col min="6661" max="6661" width="11.42578125" style="36" customWidth="1"/>
    <col min="6662" max="6662" width="8.28515625" style="36" customWidth="1"/>
    <col min="6663" max="6663" width="9.5703125" style="36" customWidth="1"/>
    <col min="6664" max="6664" width="8.28515625" style="36" customWidth="1"/>
    <col min="6665" max="6665" width="11.42578125" style="36" customWidth="1"/>
    <col min="6666" max="6666" width="8.28515625" style="36" customWidth="1"/>
    <col min="6667" max="6667" width="11.42578125" style="36" customWidth="1"/>
    <col min="6668" max="6668" width="8.5703125" style="36" customWidth="1"/>
    <col min="6669" max="6670" width="0.42578125" style="36" customWidth="1"/>
    <col min="6671" max="6671" width="9.140625" style="36" customWidth="1"/>
    <col min="6672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8.28515625" style="36" customWidth="1"/>
    <col min="6917" max="6917" width="11.42578125" style="36" customWidth="1"/>
    <col min="6918" max="6918" width="8.28515625" style="36" customWidth="1"/>
    <col min="6919" max="6919" width="9.5703125" style="36" customWidth="1"/>
    <col min="6920" max="6920" width="8.28515625" style="36" customWidth="1"/>
    <col min="6921" max="6921" width="11.42578125" style="36" customWidth="1"/>
    <col min="6922" max="6922" width="8.28515625" style="36" customWidth="1"/>
    <col min="6923" max="6923" width="11.42578125" style="36" customWidth="1"/>
    <col min="6924" max="6924" width="8.5703125" style="36" customWidth="1"/>
    <col min="6925" max="6926" width="0.42578125" style="36" customWidth="1"/>
    <col min="6927" max="6927" width="9.140625" style="36" customWidth="1"/>
    <col min="6928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8.28515625" style="36" customWidth="1"/>
    <col min="7173" max="7173" width="11.42578125" style="36" customWidth="1"/>
    <col min="7174" max="7174" width="8.28515625" style="36" customWidth="1"/>
    <col min="7175" max="7175" width="9.5703125" style="36" customWidth="1"/>
    <col min="7176" max="7176" width="8.28515625" style="36" customWidth="1"/>
    <col min="7177" max="7177" width="11.42578125" style="36" customWidth="1"/>
    <col min="7178" max="7178" width="8.28515625" style="36" customWidth="1"/>
    <col min="7179" max="7179" width="11.42578125" style="36" customWidth="1"/>
    <col min="7180" max="7180" width="8.5703125" style="36" customWidth="1"/>
    <col min="7181" max="7182" width="0.42578125" style="36" customWidth="1"/>
    <col min="7183" max="7183" width="9.140625" style="36" customWidth="1"/>
    <col min="7184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8.28515625" style="36" customWidth="1"/>
    <col min="7429" max="7429" width="11.42578125" style="36" customWidth="1"/>
    <col min="7430" max="7430" width="8.28515625" style="36" customWidth="1"/>
    <col min="7431" max="7431" width="9.5703125" style="36" customWidth="1"/>
    <col min="7432" max="7432" width="8.28515625" style="36" customWidth="1"/>
    <col min="7433" max="7433" width="11.42578125" style="36" customWidth="1"/>
    <col min="7434" max="7434" width="8.28515625" style="36" customWidth="1"/>
    <col min="7435" max="7435" width="11.42578125" style="36" customWidth="1"/>
    <col min="7436" max="7436" width="8.5703125" style="36" customWidth="1"/>
    <col min="7437" max="7438" width="0.42578125" style="36" customWidth="1"/>
    <col min="7439" max="7439" width="9.140625" style="36" customWidth="1"/>
    <col min="7440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8.28515625" style="36" customWidth="1"/>
    <col min="7685" max="7685" width="11.42578125" style="36" customWidth="1"/>
    <col min="7686" max="7686" width="8.28515625" style="36" customWidth="1"/>
    <col min="7687" max="7687" width="9.5703125" style="36" customWidth="1"/>
    <col min="7688" max="7688" width="8.28515625" style="36" customWidth="1"/>
    <col min="7689" max="7689" width="11.42578125" style="36" customWidth="1"/>
    <col min="7690" max="7690" width="8.28515625" style="36" customWidth="1"/>
    <col min="7691" max="7691" width="11.42578125" style="36" customWidth="1"/>
    <col min="7692" max="7692" width="8.5703125" style="36" customWidth="1"/>
    <col min="7693" max="7694" width="0.42578125" style="36" customWidth="1"/>
    <col min="7695" max="7695" width="9.140625" style="36" customWidth="1"/>
    <col min="7696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8.28515625" style="36" customWidth="1"/>
    <col min="7941" max="7941" width="11.42578125" style="36" customWidth="1"/>
    <col min="7942" max="7942" width="8.28515625" style="36" customWidth="1"/>
    <col min="7943" max="7943" width="9.5703125" style="36" customWidth="1"/>
    <col min="7944" max="7944" width="8.28515625" style="36" customWidth="1"/>
    <col min="7945" max="7945" width="11.42578125" style="36" customWidth="1"/>
    <col min="7946" max="7946" width="8.28515625" style="36" customWidth="1"/>
    <col min="7947" max="7947" width="11.42578125" style="36" customWidth="1"/>
    <col min="7948" max="7948" width="8.5703125" style="36" customWidth="1"/>
    <col min="7949" max="7950" width="0.42578125" style="36" customWidth="1"/>
    <col min="7951" max="7951" width="9.140625" style="36" customWidth="1"/>
    <col min="7952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8.28515625" style="36" customWidth="1"/>
    <col min="8197" max="8197" width="11.42578125" style="36" customWidth="1"/>
    <col min="8198" max="8198" width="8.28515625" style="36" customWidth="1"/>
    <col min="8199" max="8199" width="9.5703125" style="36" customWidth="1"/>
    <col min="8200" max="8200" width="8.28515625" style="36" customWidth="1"/>
    <col min="8201" max="8201" width="11.42578125" style="36" customWidth="1"/>
    <col min="8202" max="8202" width="8.28515625" style="36" customWidth="1"/>
    <col min="8203" max="8203" width="11.42578125" style="36" customWidth="1"/>
    <col min="8204" max="8204" width="8.5703125" style="36" customWidth="1"/>
    <col min="8205" max="8206" width="0.42578125" style="36" customWidth="1"/>
    <col min="8207" max="8207" width="9.140625" style="36" customWidth="1"/>
    <col min="8208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8.28515625" style="36" customWidth="1"/>
    <col min="8453" max="8453" width="11.42578125" style="36" customWidth="1"/>
    <col min="8454" max="8454" width="8.28515625" style="36" customWidth="1"/>
    <col min="8455" max="8455" width="9.5703125" style="36" customWidth="1"/>
    <col min="8456" max="8456" width="8.28515625" style="36" customWidth="1"/>
    <col min="8457" max="8457" width="11.42578125" style="36" customWidth="1"/>
    <col min="8458" max="8458" width="8.28515625" style="36" customWidth="1"/>
    <col min="8459" max="8459" width="11.42578125" style="36" customWidth="1"/>
    <col min="8460" max="8460" width="8.5703125" style="36" customWidth="1"/>
    <col min="8461" max="8462" width="0.42578125" style="36" customWidth="1"/>
    <col min="8463" max="8463" width="9.140625" style="36" customWidth="1"/>
    <col min="8464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8.28515625" style="36" customWidth="1"/>
    <col min="8709" max="8709" width="11.42578125" style="36" customWidth="1"/>
    <col min="8710" max="8710" width="8.28515625" style="36" customWidth="1"/>
    <col min="8711" max="8711" width="9.5703125" style="36" customWidth="1"/>
    <col min="8712" max="8712" width="8.28515625" style="36" customWidth="1"/>
    <col min="8713" max="8713" width="11.42578125" style="36" customWidth="1"/>
    <col min="8714" max="8714" width="8.28515625" style="36" customWidth="1"/>
    <col min="8715" max="8715" width="11.42578125" style="36" customWidth="1"/>
    <col min="8716" max="8716" width="8.5703125" style="36" customWidth="1"/>
    <col min="8717" max="8718" width="0.42578125" style="36" customWidth="1"/>
    <col min="8719" max="8719" width="9.140625" style="36" customWidth="1"/>
    <col min="8720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8.28515625" style="36" customWidth="1"/>
    <col min="8965" max="8965" width="11.42578125" style="36" customWidth="1"/>
    <col min="8966" max="8966" width="8.28515625" style="36" customWidth="1"/>
    <col min="8967" max="8967" width="9.5703125" style="36" customWidth="1"/>
    <col min="8968" max="8968" width="8.28515625" style="36" customWidth="1"/>
    <col min="8969" max="8969" width="11.42578125" style="36" customWidth="1"/>
    <col min="8970" max="8970" width="8.28515625" style="36" customWidth="1"/>
    <col min="8971" max="8971" width="11.42578125" style="36" customWidth="1"/>
    <col min="8972" max="8972" width="8.5703125" style="36" customWidth="1"/>
    <col min="8973" max="8974" width="0.42578125" style="36" customWidth="1"/>
    <col min="8975" max="8975" width="9.140625" style="36" customWidth="1"/>
    <col min="8976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8.28515625" style="36" customWidth="1"/>
    <col min="9221" max="9221" width="11.42578125" style="36" customWidth="1"/>
    <col min="9222" max="9222" width="8.28515625" style="36" customWidth="1"/>
    <col min="9223" max="9223" width="9.5703125" style="36" customWidth="1"/>
    <col min="9224" max="9224" width="8.28515625" style="36" customWidth="1"/>
    <col min="9225" max="9225" width="11.42578125" style="36" customWidth="1"/>
    <col min="9226" max="9226" width="8.28515625" style="36" customWidth="1"/>
    <col min="9227" max="9227" width="11.42578125" style="36" customWidth="1"/>
    <col min="9228" max="9228" width="8.5703125" style="36" customWidth="1"/>
    <col min="9229" max="9230" width="0.42578125" style="36" customWidth="1"/>
    <col min="9231" max="9231" width="9.140625" style="36" customWidth="1"/>
    <col min="9232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8.28515625" style="36" customWidth="1"/>
    <col min="9477" max="9477" width="11.42578125" style="36" customWidth="1"/>
    <col min="9478" max="9478" width="8.28515625" style="36" customWidth="1"/>
    <col min="9479" max="9479" width="9.5703125" style="36" customWidth="1"/>
    <col min="9480" max="9480" width="8.28515625" style="36" customWidth="1"/>
    <col min="9481" max="9481" width="11.42578125" style="36" customWidth="1"/>
    <col min="9482" max="9482" width="8.28515625" style="36" customWidth="1"/>
    <col min="9483" max="9483" width="11.42578125" style="36" customWidth="1"/>
    <col min="9484" max="9484" width="8.5703125" style="36" customWidth="1"/>
    <col min="9485" max="9486" width="0.42578125" style="36" customWidth="1"/>
    <col min="9487" max="9487" width="9.140625" style="36" customWidth="1"/>
    <col min="9488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8.28515625" style="36" customWidth="1"/>
    <col min="9733" max="9733" width="11.42578125" style="36" customWidth="1"/>
    <col min="9734" max="9734" width="8.28515625" style="36" customWidth="1"/>
    <col min="9735" max="9735" width="9.5703125" style="36" customWidth="1"/>
    <col min="9736" max="9736" width="8.28515625" style="36" customWidth="1"/>
    <col min="9737" max="9737" width="11.42578125" style="36" customWidth="1"/>
    <col min="9738" max="9738" width="8.28515625" style="36" customWidth="1"/>
    <col min="9739" max="9739" width="11.42578125" style="36" customWidth="1"/>
    <col min="9740" max="9740" width="8.5703125" style="36" customWidth="1"/>
    <col min="9741" max="9742" width="0.42578125" style="36" customWidth="1"/>
    <col min="9743" max="9743" width="9.140625" style="36" customWidth="1"/>
    <col min="9744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8.28515625" style="36" customWidth="1"/>
    <col min="9989" max="9989" width="11.42578125" style="36" customWidth="1"/>
    <col min="9990" max="9990" width="8.28515625" style="36" customWidth="1"/>
    <col min="9991" max="9991" width="9.5703125" style="36" customWidth="1"/>
    <col min="9992" max="9992" width="8.28515625" style="36" customWidth="1"/>
    <col min="9993" max="9993" width="11.42578125" style="36" customWidth="1"/>
    <col min="9994" max="9994" width="8.28515625" style="36" customWidth="1"/>
    <col min="9995" max="9995" width="11.42578125" style="36" customWidth="1"/>
    <col min="9996" max="9996" width="8.5703125" style="36" customWidth="1"/>
    <col min="9997" max="9998" width="0.42578125" style="36" customWidth="1"/>
    <col min="9999" max="9999" width="9.140625" style="36" customWidth="1"/>
    <col min="10000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8.28515625" style="36" customWidth="1"/>
    <col min="10245" max="10245" width="11.42578125" style="36" customWidth="1"/>
    <col min="10246" max="10246" width="8.28515625" style="36" customWidth="1"/>
    <col min="10247" max="10247" width="9.5703125" style="36" customWidth="1"/>
    <col min="10248" max="10248" width="8.28515625" style="36" customWidth="1"/>
    <col min="10249" max="10249" width="11.42578125" style="36" customWidth="1"/>
    <col min="10250" max="10250" width="8.28515625" style="36" customWidth="1"/>
    <col min="10251" max="10251" width="11.42578125" style="36" customWidth="1"/>
    <col min="10252" max="10252" width="8.5703125" style="36" customWidth="1"/>
    <col min="10253" max="10254" width="0.42578125" style="36" customWidth="1"/>
    <col min="10255" max="10255" width="9.140625" style="36" customWidth="1"/>
    <col min="10256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8.28515625" style="36" customWidth="1"/>
    <col min="10501" max="10501" width="11.42578125" style="36" customWidth="1"/>
    <col min="10502" max="10502" width="8.28515625" style="36" customWidth="1"/>
    <col min="10503" max="10503" width="9.5703125" style="36" customWidth="1"/>
    <col min="10504" max="10504" width="8.28515625" style="36" customWidth="1"/>
    <col min="10505" max="10505" width="11.42578125" style="36" customWidth="1"/>
    <col min="10506" max="10506" width="8.28515625" style="36" customWidth="1"/>
    <col min="10507" max="10507" width="11.42578125" style="36" customWidth="1"/>
    <col min="10508" max="10508" width="8.5703125" style="36" customWidth="1"/>
    <col min="10509" max="10510" width="0.42578125" style="36" customWidth="1"/>
    <col min="10511" max="10511" width="9.140625" style="36" customWidth="1"/>
    <col min="10512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8.28515625" style="36" customWidth="1"/>
    <col min="10757" max="10757" width="11.42578125" style="36" customWidth="1"/>
    <col min="10758" max="10758" width="8.28515625" style="36" customWidth="1"/>
    <col min="10759" max="10759" width="9.5703125" style="36" customWidth="1"/>
    <col min="10760" max="10760" width="8.28515625" style="36" customWidth="1"/>
    <col min="10761" max="10761" width="11.42578125" style="36" customWidth="1"/>
    <col min="10762" max="10762" width="8.28515625" style="36" customWidth="1"/>
    <col min="10763" max="10763" width="11.42578125" style="36" customWidth="1"/>
    <col min="10764" max="10764" width="8.5703125" style="36" customWidth="1"/>
    <col min="10765" max="10766" width="0.42578125" style="36" customWidth="1"/>
    <col min="10767" max="10767" width="9.140625" style="36" customWidth="1"/>
    <col min="10768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8.28515625" style="36" customWidth="1"/>
    <col min="11013" max="11013" width="11.42578125" style="36" customWidth="1"/>
    <col min="11014" max="11014" width="8.28515625" style="36" customWidth="1"/>
    <col min="11015" max="11015" width="9.5703125" style="36" customWidth="1"/>
    <col min="11016" max="11016" width="8.28515625" style="36" customWidth="1"/>
    <col min="11017" max="11017" width="11.42578125" style="36" customWidth="1"/>
    <col min="11018" max="11018" width="8.28515625" style="36" customWidth="1"/>
    <col min="11019" max="11019" width="11.42578125" style="36" customWidth="1"/>
    <col min="11020" max="11020" width="8.5703125" style="36" customWidth="1"/>
    <col min="11021" max="11022" width="0.42578125" style="36" customWidth="1"/>
    <col min="11023" max="11023" width="9.140625" style="36" customWidth="1"/>
    <col min="11024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8.28515625" style="36" customWidth="1"/>
    <col min="11269" max="11269" width="11.42578125" style="36" customWidth="1"/>
    <col min="11270" max="11270" width="8.28515625" style="36" customWidth="1"/>
    <col min="11271" max="11271" width="9.5703125" style="36" customWidth="1"/>
    <col min="11272" max="11272" width="8.28515625" style="36" customWidth="1"/>
    <col min="11273" max="11273" width="11.42578125" style="36" customWidth="1"/>
    <col min="11274" max="11274" width="8.28515625" style="36" customWidth="1"/>
    <col min="11275" max="11275" width="11.42578125" style="36" customWidth="1"/>
    <col min="11276" max="11276" width="8.5703125" style="36" customWidth="1"/>
    <col min="11277" max="11278" width="0.42578125" style="36" customWidth="1"/>
    <col min="11279" max="11279" width="9.140625" style="36" customWidth="1"/>
    <col min="11280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8.28515625" style="36" customWidth="1"/>
    <col min="11525" max="11525" width="11.42578125" style="36" customWidth="1"/>
    <col min="11526" max="11526" width="8.28515625" style="36" customWidth="1"/>
    <col min="11527" max="11527" width="9.5703125" style="36" customWidth="1"/>
    <col min="11528" max="11528" width="8.28515625" style="36" customWidth="1"/>
    <col min="11529" max="11529" width="11.42578125" style="36" customWidth="1"/>
    <col min="11530" max="11530" width="8.28515625" style="36" customWidth="1"/>
    <col min="11531" max="11531" width="11.42578125" style="36" customWidth="1"/>
    <col min="11532" max="11532" width="8.5703125" style="36" customWidth="1"/>
    <col min="11533" max="11534" width="0.42578125" style="36" customWidth="1"/>
    <col min="11535" max="11535" width="9.140625" style="36" customWidth="1"/>
    <col min="11536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8.28515625" style="36" customWidth="1"/>
    <col min="11781" max="11781" width="11.42578125" style="36" customWidth="1"/>
    <col min="11782" max="11782" width="8.28515625" style="36" customWidth="1"/>
    <col min="11783" max="11783" width="9.5703125" style="36" customWidth="1"/>
    <col min="11784" max="11784" width="8.28515625" style="36" customWidth="1"/>
    <col min="11785" max="11785" width="11.42578125" style="36" customWidth="1"/>
    <col min="11786" max="11786" width="8.28515625" style="36" customWidth="1"/>
    <col min="11787" max="11787" width="11.42578125" style="36" customWidth="1"/>
    <col min="11788" max="11788" width="8.5703125" style="36" customWidth="1"/>
    <col min="11789" max="11790" width="0.42578125" style="36" customWidth="1"/>
    <col min="11791" max="11791" width="9.140625" style="36" customWidth="1"/>
    <col min="11792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8.28515625" style="36" customWidth="1"/>
    <col min="12037" max="12037" width="11.42578125" style="36" customWidth="1"/>
    <col min="12038" max="12038" width="8.28515625" style="36" customWidth="1"/>
    <col min="12039" max="12039" width="9.5703125" style="36" customWidth="1"/>
    <col min="12040" max="12040" width="8.28515625" style="36" customWidth="1"/>
    <col min="12041" max="12041" width="11.42578125" style="36" customWidth="1"/>
    <col min="12042" max="12042" width="8.28515625" style="36" customWidth="1"/>
    <col min="12043" max="12043" width="11.42578125" style="36" customWidth="1"/>
    <col min="12044" max="12044" width="8.5703125" style="36" customWidth="1"/>
    <col min="12045" max="12046" width="0.42578125" style="36" customWidth="1"/>
    <col min="12047" max="12047" width="9.140625" style="36" customWidth="1"/>
    <col min="12048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8.28515625" style="36" customWidth="1"/>
    <col min="12293" max="12293" width="11.42578125" style="36" customWidth="1"/>
    <col min="12294" max="12294" width="8.28515625" style="36" customWidth="1"/>
    <col min="12295" max="12295" width="9.5703125" style="36" customWidth="1"/>
    <col min="12296" max="12296" width="8.28515625" style="36" customWidth="1"/>
    <col min="12297" max="12297" width="11.42578125" style="36" customWidth="1"/>
    <col min="12298" max="12298" width="8.28515625" style="36" customWidth="1"/>
    <col min="12299" max="12299" width="11.42578125" style="36" customWidth="1"/>
    <col min="12300" max="12300" width="8.5703125" style="36" customWidth="1"/>
    <col min="12301" max="12302" width="0.42578125" style="36" customWidth="1"/>
    <col min="12303" max="12303" width="9.140625" style="36" customWidth="1"/>
    <col min="12304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8.28515625" style="36" customWidth="1"/>
    <col min="12549" max="12549" width="11.42578125" style="36" customWidth="1"/>
    <col min="12550" max="12550" width="8.28515625" style="36" customWidth="1"/>
    <col min="12551" max="12551" width="9.5703125" style="36" customWidth="1"/>
    <col min="12552" max="12552" width="8.28515625" style="36" customWidth="1"/>
    <col min="12553" max="12553" width="11.42578125" style="36" customWidth="1"/>
    <col min="12554" max="12554" width="8.28515625" style="36" customWidth="1"/>
    <col min="12555" max="12555" width="11.42578125" style="36" customWidth="1"/>
    <col min="12556" max="12556" width="8.5703125" style="36" customWidth="1"/>
    <col min="12557" max="12558" width="0.42578125" style="36" customWidth="1"/>
    <col min="12559" max="12559" width="9.140625" style="36" customWidth="1"/>
    <col min="12560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8.28515625" style="36" customWidth="1"/>
    <col min="12805" max="12805" width="11.42578125" style="36" customWidth="1"/>
    <col min="12806" max="12806" width="8.28515625" style="36" customWidth="1"/>
    <col min="12807" max="12807" width="9.5703125" style="36" customWidth="1"/>
    <col min="12808" max="12808" width="8.28515625" style="36" customWidth="1"/>
    <col min="12809" max="12809" width="11.42578125" style="36" customWidth="1"/>
    <col min="12810" max="12810" width="8.28515625" style="36" customWidth="1"/>
    <col min="12811" max="12811" width="11.42578125" style="36" customWidth="1"/>
    <col min="12812" max="12812" width="8.5703125" style="36" customWidth="1"/>
    <col min="12813" max="12814" width="0.42578125" style="36" customWidth="1"/>
    <col min="12815" max="12815" width="9.140625" style="36" customWidth="1"/>
    <col min="12816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8.28515625" style="36" customWidth="1"/>
    <col min="13061" max="13061" width="11.42578125" style="36" customWidth="1"/>
    <col min="13062" max="13062" width="8.28515625" style="36" customWidth="1"/>
    <col min="13063" max="13063" width="9.5703125" style="36" customWidth="1"/>
    <col min="13064" max="13064" width="8.28515625" style="36" customWidth="1"/>
    <col min="13065" max="13065" width="11.42578125" style="36" customWidth="1"/>
    <col min="13066" max="13066" width="8.28515625" style="36" customWidth="1"/>
    <col min="13067" max="13067" width="11.42578125" style="36" customWidth="1"/>
    <col min="13068" max="13068" width="8.5703125" style="36" customWidth="1"/>
    <col min="13069" max="13070" width="0.42578125" style="36" customWidth="1"/>
    <col min="13071" max="13071" width="9.140625" style="36" customWidth="1"/>
    <col min="13072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8.28515625" style="36" customWidth="1"/>
    <col min="13317" max="13317" width="11.42578125" style="36" customWidth="1"/>
    <col min="13318" max="13318" width="8.28515625" style="36" customWidth="1"/>
    <col min="13319" max="13319" width="9.5703125" style="36" customWidth="1"/>
    <col min="13320" max="13320" width="8.28515625" style="36" customWidth="1"/>
    <col min="13321" max="13321" width="11.42578125" style="36" customWidth="1"/>
    <col min="13322" max="13322" width="8.28515625" style="36" customWidth="1"/>
    <col min="13323" max="13323" width="11.42578125" style="36" customWidth="1"/>
    <col min="13324" max="13324" width="8.5703125" style="36" customWidth="1"/>
    <col min="13325" max="13326" width="0.42578125" style="36" customWidth="1"/>
    <col min="13327" max="13327" width="9.140625" style="36" customWidth="1"/>
    <col min="13328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8.28515625" style="36" customWidth="1"/>
    <col min="13573" max="13573" width="11.42578125" style="36" customWidth="1"/>
    <col min="13574" max="13574" width="8.28515625" style="36" customWidth="1"/>
    <col min="13575" max="13575" width="9.5703125" style="36" customWidth="1"/>
    <col min="13576" max="13576" width="8.28515625" style="36" customWidth="1"/>
    <col min="13577" max="13577" width="11.42578125" style="36" customWidth="1"/>
    <col min="13578" max="13578" width="8.28515625" style="36" customWidth="1"/>
    <col min="13579" max="13579" width="11.42578125" style="36" customWidth="1"/>
    <col min="13580" max="13580" width="8.5703125" style="36" customWidth="1"/>
    <col min="13581" max="13582" width="0.42578125" style="36" customWidth="1"/>
    <col min="13583" max="13583" width="9.140625" style="36" customWidth="1"/>
    <col min="13584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8.28515625" style="36" customWidth="1"/>
    <col min="13829" max="13829" width="11.42578125" style="36" customWidth="1"/>
    <col min="13830" max="13830" width="8.28515625" style="36" customWidth="1"/>
    <col min="13831" max="13831" width="9.5703125" style="36" customWidth="1"/>
    <col min="13832" max="13832" width="8.28515625" style="36" customWidth="1"/>
    <col min="13833" max="13833" width="11.42578125" style="36" customWidth="1"/>
    <col min="13834" max="13834" width="8.28515625" style="36" customWidth="1"/>
    <col min="13835" max="13835" width="11.42578125" style="36" customWidth="1"/>
    <col min="13836" max="13836" width="8.5703125" style="36" customWidth="1"/>
    <col min="13837" max="13838" width="0.42578125" style="36" customWidth="1"/>
    <col min="13839" max="13839" width="9.140625" style="36" customWidth="1"/>
    <col min="13840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8.28515625" style="36" customWidth="1"/>
    <col min="14085" max="14085" width="11.42578125" style="36" customWidth="1"/>
    <col min="14086" max="14086" width="8.28515625" style="36" customWidth="1"/>
    <col min="14087" max="14087" width="9.5703125" style="36" customWidth="1"/>
    <col min="14088" max="14088" width="8.28515625" style="36" customWidth="1"/>
    <col min="14089" max="14089" width="11.42578125" style="36" customWidth="1"/>
    <col min="14090" max="14090" width="8.28515625" style="36" customWidth="1"/>
    <col min="14091" max="14091" width="11.42578125" style="36" customWidth="1"/>
    <col min="14092" max="14092" width="8.5703125" style="36" customWidth="1"/>
    <col min="14093" max="14094" width="0.42578125" style="36" customWidth="1"/>
    <col min="14095" max="14095" width="9.140625" style="36" customWidth="1"/>
    <col min="14096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8.28515625" style="36" customWidth="1"/>
    <col min="14341" max="14341" width="11.42578125" style="36" customWidth="1"/>
    <col min="14342" max="14342" width="8.28515625" style="36" customWidth="1"/>
    <col min="14343" max="14343" width="9.5703125" style="36" customWidth="1"/>
    <col min="14344" max="14344" width="8.28515625" style="36" customWidth="1"/>
    <col min="14345" max="14345" width="11.42578125" style="36" customWidth="1"/>
    <col min="14346" max="14346" width="8.28515625" style="36" customWidth="1"/>
    <col min="14347" max="14347" width="11.42578125" style="36" customWidth="1"/>
    <col min="14348" max="14348" width="8.5703125" style="36" customWidth="1"/>
    <col min="14349" max="14350" width="0.42578125" style="36" customWidth="1"/>
    <col min="14351" max="14351" width="9.140625" style="36" customWidth="1"/>
    <col min="14352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8.28515625" style="36" customWidth="1"/>
    <col min="14597" max="14597" width="11.42578125" style="36" customWidth="1"/>
    <col min="14598" max="14598" width="8.28515625" style="36" customWidth="1"/>
    <col min="14599" max="14599" width="9.5703125" style="36" customWidth="1"/>
    <col min="14600" max="14600" width="8.28515625" style="36" customWidth="1"/>
    <col min="14601" max="14601" width="11.42578125" style="36" customWidth="1"/>
    <col min="14602" max="14602" width="8.28515625" style="36" customWidth="1"/>
    <col min="14603" max="14603" width="11.42578125" style="36" customWidth="1"/>
    <col min="14604" max="14604" width="8.5703125" style="36" customWidth="1"/>
    <col min="14605" max="14606" width="0.42578125" style="36" customWidth="1"/>
    <col min="14607" max="14607" width="9.140625" style="36" customWidth="1"/>
    <col min="14608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8.28515625" style="36" customWidth="1"/>
    <col min="14853" max="14853" width="11.42578125" style="36" customWidth="1"/>
    <col min="14854" max="14854" width="8.28515625" style="36" customWidth="1"/>
    <col min="14855" max="14855" width="9.5703125" style="36" customWidth="1"/>
    <col min="14856" max="14856" width="8.28515625" style="36" customWidth="1"/>
    <col min="14857" max="14857" width="11.42578125" style="36" customWidth="1"/>
    <col min="14858" max="14858" width="8.28515625" style="36" customWidth="1"/>
    <col min="14859" max="14859" width="11.42578125" style="36" customWidth="1"/>
    <col min="14860" max="14860" width="8.5703125" style="36" customWidth="1"/>
    <col min="14861" max="14862" width="0.42578125" style="36" customWidth="1"/>
    <col min="14863" max="14863" width="9.140625" style="36" customWidth="1"/>
    <col min="14864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8.28515625" style="36" customWidth="1"/>
    <col min="15109" max="15109" width="11.42578125" style="36" customWidth="1"/>
    <col min="15110" max="15110" width="8.28515625" style="36" customWidth="1"/>
    <col min="15111" max="15111" width="9.5703125" style="36" customWidth="1"/>
    <col min="15112" max="15112" width="8.28515625" style="36" customWidth="1"/>
    <col min="15113" max="15113" width="11.42578125" style="36" customWidth="1"/>
    <col min="15114" max="15114" width="8.28515625" style="36" customWidth="1"/>
    <col min="15115" max="15115" width="11.42578125" style="36" customWidth="1"/>
    <col min="15116" max="15116" width="8.5703125" style="36" customWidth="1"/>
    <col min="15117" max="15118" width="0.42578125" style="36" customWidth="1"/>
    <col min="15119" max="15119" width="9.140625" style="36" customWidth="1"/>
    <col min="15120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8.28515625" style="36" customWidth="1"/>
    <col min="15365" max="15365" width="11.42578125" style="36" customWidth="1"/>
    <col min="15366" max="15366" width="8.28515625" style="36" customWidth="1"/>
    <col min="15367" max="15367" width="9.5703125" style="36" customWidth="1"/>
    <col min="15368" max="15368" width="8.28515625" style="36" customWidth="1"/>
    <col min="15369" max="15369" width="11.42578125" style="36" customWidth="1"/>
    <col min="15370" max="15370" width="8.28515625" style="36" customWidth="1"/>
    <col min="15371" max="15371" width="11.42578125" style="36" customWidth="1"/>
    <col min="15372" max="15372" width="8.5703125" style="36" customWidth="1"/>
    <col min="15373" max="15374" width="0.42578125" style="36" customWidth="1"/>
    <col min="15375" max="15375" width="9.140625" style="36" customWidth="1"/>
    <col min="15376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8.28515625" style="36" customWidth="1"/>
    <col min="15621" max="15621" width="11.42578125" style="36" customWidth="1"/>
    <col min="15622" max="15622" width="8.28515625" style="36" customWidth="1"/>
    <col min="15623" max="15623" width="9.5703125" style="36" customWidth="1"/>
    <col min="15624" max="15624" width="8.28515625" style="36" customWidth="1"/>
    <col min="15625" max="15625" width="11.42578125" style="36" customWidth="1"/>
    <col min="15626" max="15626" width="8.28515625" style="36" customWidth="1"/>
    <col min="15627" max="15627" width="11.42578125" style="36" customWidth="1"/>
    <col min="15628" max="15628" width="8.5703125" style="36" customWidth="1"/>
    <col min="15629" max="15630" width="0.42578125" style="36" customWidth="1"/>
    <col min="15631" max="15631" width="9.140625" style="36" customWidth="1"/>
    <col min="15632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8.28515625" style="36" customWidth="1"/>
    <col min="15877" max="15877" width="11.42578125" style="36" customWidth="1"/>
    <col min="15878" max="15878" width="8.28515625" style="36" customWidth="1"/>
    <col min="15879" max="15879" width="9.5703125" style="36" customWidth="1"/>
    <col min="15880" max="15880" width="8.28515625" style="36" customWidth="1"/>
    <col min="15881" max="15881" width="11.42578125" style="36" customWidth="1"/>
    <col min="15882" max="15882" width="8.28515625" style="36" customWidth="1"/>
    <col min="15883" max="15883" width="11.42578125" style="36" customWidth="1"/>
    <col min="15884" max="15884" width="8.5703125" style="36" customWidth="1"/>
    <col min="15885" max="15886" width="0.42578125" style="36" customWidth="1"/>
    <col min="15887" max="15887" width="9.140625" style="36" customWidth="1"/>
    <col min="15888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8.28515625" style="36" customWidth="1"/>
    <col min="16133" max="16133" width="11.42578125" style="36" customWidth="1"/>
    <col min="16134" max="16134" width="8.28515625" style="36" customWidth="1"/>
    <col min="16135" max="16135" width="9.5703125" style="36" customWidth="1"/>
    <col min="16136" max="16136" width="8.28515625" style="36" customWidth="1"/>
    <col min="16137" max="16137" width="11.42578125" style="36" customWidth="1"/>
    <col min="16138" max="16138" width="8.28515625" style="36" customWidth="1"/>
    <col min="16139" max="16139" width="11.42578125" style="36" customWidth="1"/>
    <col min="16140" max="16140" width="8.5703125" style="36" customWidth="1"/>
    <col min="16141" max="16142" width="0.42578125" style="36" customWidth="1"/>
    <col min="16143" max="16143" width="9.140625" style="36" customWidth="1"/>
    <col min="16144" max="16384" width="13.28515625" style="36"/>
  </cols>
  <sheetData>
    <row r="1" spans="3:13" ht="2.1" customHeight="1" x14ac:dyDescent="0.2">
      <c r="M1" s="36" t="s">
        <v>46</v>
      </c>
    </row>
    <row r="2" spans="3:13" ht="19.899999999999999" customHeight="1" x14ac:dyDescent="0.2"/>
    <row r="3" spans="3:13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</row>
    <row r="4" spans="3:13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</row>
    <row r="5" spans="3:13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</row>
    <row r="6" spans="3:13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</row>
    <row r="7" spans="3:13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</row>
    <row r="8" spans="3:13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39"/>
    </row>
    <row r="9" spans="3:13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</row>
    <row r="10" spans="3:13" ht="21.6" customHeight="1" x14ac:dyDescent="0.3">
      <c r="C10" s="40" t="s">
        <v>109</v>
      </c>
      <c r="D10" s="40"/>
      <c r="E10" s="40"/>
      <c r="F10" s="40"/>
      <c r="G10" s="40"/>
      <c r="H10" s="40"/>
      <c r="I10" s="40"/>
      <c r="J10" s="40"/>
      <c r="K10" s="41"/>
    </row>
    <row r="11" spans="3:13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</row>
    <row r="12" spans="3:13" ht="1.35" customHeight="1" x14ac:dyDescent="0.2"/>
    <row r="13" spans="3:13" ht="12.75" customHeight="1" x14ac:dyDescent="0.2">
      <c r="C13" s="60"/>
      <c r="D13" s="60"/>
      <c r="E13" s="60"/>
      <c r="F13" s="60"/>
      <c r="G13" s="60"/>
      <c r="H13" s="60"/>
      <c r="I13" s="60"/>
      <c r="J13" s="60"/>
      <c r="K13" s="60"/>
    </row>
    <row r="14" spans="3:13" ht="23.25" customHeight="1" x14ac:dyDescent="0.2">
      <c r="C14" s="61" t="s">
        <v>67</v>
      </c>
      <c r="D14" s="61"/>
      <c r="E14" s="61" t="s">
        <v>110</v>
      </c>
      <c r="F14" s="61"/>
      <c r="G14" s="61" t="s">
        <v>111</v>
      </c>
      <c r="H14" s="61"/>
      <c r="I14" s="61" t="s">
        <v>112</v>
      </c>
      <c r="J14" s="61"/>
      <c r="K14" s="61" t="s">
        <v>113</v>
      </c>
    </row>
    <row r="15" spans="3:13" ht="1.35" customHeight="1" x14ac:dyDescent="0.2">
      <c r="C15" s="62"/>
      <c r="D15" s="62"/>
      <c r="E15" s="62"/>
      <c r="F15" s="62"/>
      <c r="G15" s="62"/>
      <c r="H15" s="62"/>
      <c r="I15" s="62"/>
      <c r="J15" s="62"/>
      <c r="K15" s="62"/>
    </row>
    <row r="16" spans="3:13" ht="1.1499999999999999" customHeight="1" x14ac:dyDescent="0.2">
      <c r="C16" s="62"/>
      <c r="D16" s="63"/>
      <c r="E16" s="63"/>
      <c r="F16" s="63"/>
      <c r="G16" s="63"/>
      <c r="H16" s="63"/>
      <c r="I16" s="63"/>
      <c r="J16" s="63"/>
      <c r="K16" s="62"/>
    </row>
    <row r="17" spans="3:11" ht="10.9" customHeight="1" x14ac:dyDescent="0.2">
      <c r="C17" s="64">
        <v>40450</v>
      </c>
      <c r="D17" s="65"/>
      <c r="E17" s="66">
        <v>0</v>
      </c>
      <c r="F17" s="66"/>
      <c r="G17" s="83">
        <v>1</v>
      </c>
      <c r="H17" s="83"/>
      <c r="I17" s="66">
        <v>0</v>
      </c>
      <c r="J17" s="66"/>
      <c r="K17" s="68">
        <v>0</v>
      </c>
    </row>
    <row r="18" spans="3:11" ht="10.9" customHeight="1" x14ac:dyDescent="0.2">
      <c r="C18" s="64">
        <v>40756</v>
      </c>
      <c r="D18" s="65"/>
      <c r="E18" s="66">
        <v>22141.42</v>
      </c>
      <c r="F18" s="66"/>
      <c r="G18" s="83">
        <v>0.97615337585759998</v>
      </c>
      <c r="H18" s="83"/>
      <c r="I18" s="66">
        <v>21613.421879281581</v>
      </c>
      <c r="J18" s="66"/>
      <c r="K18" s="68">
        <v>21613.421879281581</v>
      </c>
    </row>
    <row r="19" spans="3:11" ht="10.9" customHeight="1" x14ac:dyDescent="0.2">
      <c r="C19" s="64">
        <v>40940</v>
      </c>
      <c r="D19" s="65"/>
      <c r="E19" s="66">
        <v>13196.88</v>
      </c>
      <c r="F19" s="66"/>
      <c r="G19" s="83">
        <v>0.96221150852149995</v>
      </c>
      <c r="H19" s="83"/>
      <c r="I19" s="66">
        <v>12698.18981257672</v>
      </c>
      <c r="J19" s="66"/>
      <c r="K19" s="68">
        <v>34311.611691858299</v>
      </c>
    </row>
    <row r="20" spans="3:11" ht="10.9" customHeight="1" x14ac:dyDescent="0.2">
      <c r="C20" s="64">
        <v>41122</v>
      </c>
      <c r="D20" s="65"/>
      <c r="E20" s="66">
        <v>13196.88</v>
      </c>
      <c r="F20" s="66"/>
      <c r="G20" s="83">
        <v>0.94846876528769997</v>
      </c>
      <c r="H20" s="83"/>
      <c r="I20" s="66">
        <v>12516.82847925056</v>
      </c>
      <c r="J20" s="66"/>
      <c r="K20" s="68">
        <v>46828.440171108858</v>
      </c>
    </row>
    <row r="21" spans="3:11" ht="10.9" customHeight="1" x14ac:dyDescent="0.2">
      <c r="C21" s="64">
        <v>41306</v>
      </c>
      <c r="D21" s="64"/>
      <c r="E21" s="68">
        <v>73196.88</v>
      </c>
      <c r="F21" s="68"/>
      <c r="G21" s="84">
        <v>0.93492230217530004</v>
      </c>
      <c r="H21" s="84"/>
      <c r="I21" s="68">
        <v>68433.395561649886</v>
      </c>
      <c r="J21" s="68"/>
      <c r="K21" s="68">
        <v>115261.8357327588</v>
      </c>
    </row>
    <row r="22" spans="3:11" ht="10.9" customHeight="1" x14ac:dyDescent="0.2">
      <c r="C22" s="64">
        <v>41487</v>
      </c>
      <c r="D22" s="65"/>
      <c r="E22" s="66">
        <v>12934.38</v>
      </c>
      <c r="F22" s="66"/>
      <c r="G22" s="83">
        <v>0.92156931582199997</v>
      </c>
      <c r="H22" s="83"/>
      <c r="I22" s="66">
        <v>11919.927727181959</v>
      </c>
      <c r="J22" s="66"/>
      <c r="K22" s="68">
        <v>127181.7634599407</v>
      </c>
    </row>
    <row r="23" spans="3:11" ht="10.9" customHeight="1" x14ac:dyDescent="0.2">
      <c r="C23" s="64">
        <v>41671</v>
      </c>
      <c r="D23" s="65"/>
      <c r="E23" s="66">
        <v>72934.38</v>
      </c>
      <c r="F23" s="66"/>
      <c r="G23" s="83">
        <v>0.90840704290459995</v>
      </c>
      <c r="H23" s="83"/>
      <c r="I23" s="66">
        <v>66254.104461882249</v>
      </c>
      <c r="J23" s="66"/>
      <c r="K23" s="68">
        <v>193435.86792182291</v>
      </c>
    </row>
    <row r="24" spans="3:11" ht="10.9" customHeight="1" x14ac:dyDescent="0.2">
      <c r="C24" s="64">
        <v>41852</v>
      </c>
      <c r="D24" s="65"/>
      <c r="E24" s="66">
        <v>12671.88</v>
      </c>
      <c r="F24" s="66"/>
      <c r="G24" s="83">
        <v>0.89543275956690005</v>
      </c>
      <c r="H24" s="83"/>
      <c r="I24" s="66">
        <v>11346.816477301139</v>
      </c>
      <c r="J24" s="66"/>
      <c r="K24" s="68">
        <v>204782.68439912409</v>
      </c>
    </row>
    <row r="25" spans="3:11" ht="10.9" customHeight="1" x14ac:dyDescent="0.2">
      <c r="C25" s="64">
        <v>42036</v>
      </c>
      <c r="D25" s="65"/>
      <c r="E25" s="66">
        <v>72671.88</v>
      </c>
      <c r="F25" s="66"/>
      <c r="G25" s="83">
        <v>0.88264378085609996</v>
      </c>
      <c r="H25" s="83"/>
      <c r="I25" s="66">
        <v>64143.38292512246</v>
      </c>
      <c r="J25" s="66"/>
      <c r="K25" s="68">
        <v>268926.06732424657</v>
      </c>
    </row>
    <row r="26" spans="3:11" ht="10.9" customHeight="1" x14ac:dyDescent="0.2">
      <c r="C26" s="64">
        <v>42217</v>
      </c>
      <c r="D26" s="64"/>
      <c r="E26" s="68">
        <v>12259.38</v>
      </c>
      <c r="F26" s="68"/>
      <c r="G26" s="84">
        <v>0.87003746016700001</v>
      </c>
      <c r="H26" s="84"/>
      <c r="I26" s="68">
        <v>10666.119838422679</v>
      </c>
      <c r="J26" s="68"/>
      <c r="K26" s="68">
        <v>279592.1871626692</v>
      </c>
    </row>
    <row r="27" spans="3:11" ht="10.9" customHeight="1" x14ac:dyDescent="0.2">
      <c r="C27" s="64">
        <v>42401</v>
      </c>
      <c r="D27" s="65"/>
      <c r="E27" s="66">
        <v>72259.38</v>
      </c>
      <c r="F27" s="66"/>
      <c r="G27" s="83">
        <v>0.85761118869459996</v>
      </c>
      <c r="H27" s="83"/>
      <c r="I27" s="66">
        <v>61970.452776135542</v>
      </c>
      <c r="J27" s="66"/>
      <c r="K27" s="68">
        <v>341562.63993880479</v>
      </c>
    </row>
    <row r="28" spans="3:11" ht="10.9" customHeight="1" x14ac:dyDescent="0.2">
      <c r="C28" s="64">
        <v>42583</v>
      </c>
      <c r="D28" s="65"/>
      <c r="E28" s="66">
        <v>11846.88</v>
      </c>
      <c r="F28" s="66"/>
      <c r="G28" s="83">
        <v>0.84536239489389997</v>
      </c>
      <c r="H28" s="83"/>
      <c r="I28" s="66">
        <v>10014.90684882013</v>
      </c>
      <c r="J28" s="66"/>
      <c r="K28" s="68">
        <v>351577.54678762489</v>
      </c>
    </row>
    <row r="29" spans="3:11" ht="10.9" customHeight="1" x14ac:dyDescent="0.2">
      <c r="C29" s="64">
        <v>42767</v>
      </c>
      <c r="D29" s="65"/>
      <c r="E29" s="66">
        <v>71846.880000000005</v>
      </c>
      <c r="F29" s="66"/>
      <c r="G29" s="83">
        <v>0.83328854394780005</v>
      </c>
      <c r="H29" s="83"/>
      <c r="I29" s="66">
        <v>59869.182022392517</v>
      </c>
      <c r="J29" s="66"/>
      <c r="K29" s="68">
        <v>411446.7288100174</v>
      </c>
    </row>
    <row r="30" spans="3:11" ht="10.9" customHeight="1" x14ac:dyDescent="0.2">
      <c r="C30" s="64">
        <v>42948</v>
      </c>
      <c r="D30" s="65"/>
      <c r="E30" s="66">
        <v>11284.38</v>
      </c>
      <c r="F30" s="66"/>
      <c r="G30" s="83">
        <v>0.82138713724290002</v>
      </c>
      <c r="H30" s="83"/>
      <c r="I30" s="66">
        <v>9268.8445837608106</v>
      </c>
      <c r="J30" s="66"/>
      <c r="K30" s="68">
        <v>420715.57339377818</v>
      </c>
    </row>
    <row r="31" spans="3:11" ht="10.9" customHeight="1" x14ac:dyDescent="0.2">
      <c r="C31" s="64">
        <v>43132</v>
      </c>
      <c r="D31" s="64"/>
      <c r="E31" s="68">
        <v>71284.38</v>
      </c>
      <c r="F31" s="68"/>
      <c r="G31" s="84">
        <v>0.8096557118519</v>
      </c>
      <c r="H31" s="84"/>
      <c r="I31" s="68">
        <v>57715.805432818073</v>
      </c>
      <c r="J31" s="68"/>
      <c r="K31" s="68">
        <v>478431.37882659631</v>
      </c>
    </row>
    <row r="32" spans="3:11" ht="10.9" customHeight="1" x14ac:dyDescent="0.2">
      <c r="C32" s="64">
        <v>43313</v>
      </c>
      <c r="D32" s="65"/>
      <c r="E32" s="66">
        <v>10721.88</v>
      </c>
      <c r="F32" s="66"/>
      <c r="G32" s="83">
        <v>0.79809184002410005</v>
      </c>
      <c r="H32" s="83"/>
      <c r="I32" s="66">
        <v>8557.0449377180503</v>
      </c>
      <c r="J32" s="66"/>
      <c r="K32" s="68">
        <v>486988.42376431439</v>
      </c>
    </row>
    <row r="33" spans="3:11" ht="10.9" customHeight="1" x14ac:dyDescent="0.2">
      <c r="C33" s="64">
        <v>43497</v>
      </c>
      <c r="D33" s="65"/>
      <c r="E33" s="66">
        <v>70721.88</v>
      </c>
      <c r="F33" s="66"/>
      <c r="G33" s="83">
        <v>0.78669312868340002</v>
      </c>
      <c r="H33" s="83"/>
      <c r="I33" s="66">
        <v>55636.417043572023</v>
      </c>
      <c r="J33" s="66"/>
      <c r="K33" s="68">
        <v>542624.84080788644</v>
      </c>
    </row>
    <row r="34" spans="3:11" ht="10.9" customHeight="1" x14ac:dyDescent="0.2">
      <c r="C34" s="64">
        <v>43678</v>
      </c>
      <c r="D34" s="65"/>
      <c r="E34" s="66">
        <v>10009.379999999999</v>
      </c>
      <c r="F34" s="66"/>
      <c r="G34" s="83">
        <v>0.77545721893230002</v>
      </c>
      <c r="H34" s="83"/>
      <c r="I34" s="66">
        <v>7761.8459780365101</v>
      </c>
      <c r="J34" s="66"/>
      <c r="K34" s="68">
        <v>550386.68678592297</v>
      </c>
    </row>
    <row r="35" spans="3:11" ht="10.9" customHeight="1" x14ac:dyDescent="0.2">
      <c r="C35" s="64">
        <v>43862</v>
      </c>
      <c r="D35" s="65"/>
      <c r="E35" s="66">
        <v>70009.38</v>
      </c>
      <c r="F35" s="66"/>
      <c r="G35" s="83">
        <v>0.76438178556430003</v>
      </c>
      <c r="H35" s="83"/>
      <c r="I35" s="66">
        <v>53513.894890651587</v>
      </c>
      <c r="J35" s="66"/>
      <c r="K35" s="68">
        <v>603900.58167657466</v>
      </c>
    </row>
    <row r="36" spans="3:11" ht="10.9" customHeight="1" x14ac:dyDescent="0.2">
      <c r="C36" s="64">
        <v>44044</v>
      </c>
      <c r="D36" s="64"/>
      <c r="E36" s="68">
        <v>9296.8799999999992</v>
      </c>
      <c r="F36" s="68"/>
      <c r="G36" s="84">
        <v>0.75346453658269996</v>
      </c>
      <c r="H36" s="84"/>
      <c r="I36" s="68">
        <v>7004.8693808647558</v>
      </c>
      <c r="J36" s="68"/>
      <c r="K36" s="68">
        <v>610905.45105743944</v>
      </c>
    </row>
    <row r="37" spans="3:11" ht="10.9" customHeight="1" x14ac:dyDescent="0.2">
      <c r="C37" s="64">
        <v>44228</v>
      </c>
      <c r="D37" s="65"/>
      <c r="E37" s="66">
        <v>69296.88</v>
      </c>
      <c r="F37" s="66"/>
      <c r="G37" s="83">
        <v>0.74270321272579998</v>
      </c>
      <c r="H37" s="83"/>
      <c r="I37" s="66">
        <v>51467.015407877618</v>
      </c>
      <c r="J37" s="66"/>
      <c r="K37" s="68">
        <v>662372.46646531695</v>
      </c>
    </row>
    <row r="38" spans="3:11" ht="10.9" customHeight="1" x14ac:dyDescent="0.2">
      <c r="C38" s="64">
        <v>44409</v>
      </c>
      <c r="D38" s="65"/>
      <c r="E38" s="66">
        <v>8509.3799999999992</v>
      </c>
      <c r="F38" s="66"/>
      <c r="G38" s="83">
        <v>0.73209558700020005</v>
      </c>
      <c r="H38" s="83"/>
      <c r="I38" s="66">
        <v>6229.6795461074134</v>
      </c>
      <c r="J38" s="66"/>
      <c r="K38" s="68">
        <v>668602.14601142437</v>
      </c>
    </row>
    <row r="39" spans="3:11" ht="10.9" customHeight="1" x14ac:dyDescent="0.2">
      <c r="C39" s="64">
        <v>44593</v>
      </c>
      <c r="D39" s="65"/>
      <c r="E39" s="66">
        <v>63509.38</v>
      </c>
      <c r="F39" s="66"/>
      <c r="G39" s="83">
        <v>0.72163946421890002</v>
      </c>
      <c r="H39" s="83"/>
      <c r="I39" s="66">
        <v>45830.874956071959</v>
      </c>
      <c r="J39" s="66"/>
      <c r="K39" s="68">
        <v>714433.02096749633</v>
      </c>
    </row>
    <row r="40" spans="3:11" ht="10.9" customHeight="1" x14ac:dyDescent="0.2">
      <c r="C40" s="64">
        <v>44774</v>
      </c>
      <c r="D40" s="65"/>
      <c r="E40" s="66">
        <v>7787.5</v>
      </c>
      <c r="F40" s="66"/>
      <c r="G40" s="83">
        <v>0.7113326805479</v>
      </c>
      <c r="H40" s="83"/>
      <c r="I40" s="66">
        <v>5539.5032497664679</v>
      </c>
      <c r="J40" s="66"/>
      <c r="K40" s="68">
        <v>719972.52421726275</v>
      </c>
    </row>
    <row r="41" spans="3:11" ht="10.9" customHeight="1" x14ac:dyDescent="0.2">
      <c r="C41" s="64">
        <v>44958</v>
      </c>
      <c r="D41" s="64"/>
      <c r="E41" s="68">
        <v>62787.5</v>
      </c>
      <c r="F41" s="68"/>
      <c r="G41" s="84">
        <v>0.70117310305790004</v>
      </c>
      <c r="H41" s="84"/>
      <c r="I41" s="68">
        <v>44024.906208250242</v>
      </c>
      <c r="J41" s="68"/>
      <c r="K41" s="68">
        <v>763997.43042551295</v>
      </c>
    </row>
    <row r="42" spans="3:11" ht="10.9" customHeight="1" x14ac:dyDescent="0.2">
      <c r="C42" s="64">
        <v>45139</v>
      </c>
      <c r="D42" s="65"/>
      <c r="E42" s="66">
        <v>6962.5</v>
      </c>
      <c r="F42" s="66"/>
      <c r="G42" s="83">
        <v>0.69115862928329996</v>
      </c>
      <c r="H42" s="83"/>
      <c r="I42" s="66">
        <v>4812.1919563851898</v>
      </c>
      <c r="J42" s="66"/>
      <c r="K42" s="68">
        <v>768809.62238189799</v>
      </c>
    </row>
    <row r="43" spans="3:11" ht="10.9" customHeight="1" x14ac:dyDescent="0.2">
      <c r="C43" s="64">
        <v>45323</v>
      </c>
      <c r="D43" s="65"/>
      <c r="E43" s="66">
        <v>61962.5</v>
      </c>
      <c r="F43" s="66"/>
      <c r="G43" s="83">
        <v>0.68128718678669997</v>
      </c>
      <c r="H43" s="83"/>
      <c r="I43" s="66">
        <v>42214.2573112682</v>
      </c>
      <c r="J43" s="66"/>
      <c r="K43" s="68">
        <v>811023.879693166</v>
      </c>
    </row>
    <row r="44" spans="3:11" ht="10.9" customHeight="1" x14ac:dyDescent="0.2">
      <c r="C44" s="64">
        <v>45505</v>
      </c>
      <c r="D44" s="65"/>
      <c r="E44" s="66">
        <v>6137.5</v>
      </c>
      <c r="F44" s="66"/>
      <c r="G44" s="83">
        <v>0.67155673273000005</v>
      </c>
      <c r="H44" s="83"/>
      <c r="I44" s="66">
        <v>4121.679447130532</v>
      </c>
      <c r="J44" s="66"/>
      <c r="K44" s="68">
        <v>815145.559140297</v>
      </c>
    </row>
    <row r="45" spans="3:11" ht="10.9" customHeight="1" x14ac:dyDescent="0.2">
      <c r="C45" s="64">
        <v>45689</v>
      </c>
      <c r="D45" s="65"/>
      <c r="E45" s="66">
        <v>61137.5</v>
      </c>
      <c r="F45" s="66"/>
      <c r="G45" s="83">
        <v>0.66196525345229995</v>
      </c>
      <c r="H45" s="83"/>
      <c r="I45" s="66">
        <v>40470.90068293942</v>
      </c>
      <c r="J45" s="66"/>
      <c r="K45" s="68">
        <v>855616.45982323599</v>
      </c>
    </row>
    <row r="46" spans="3:11" ht="10.9" customHeight="1" x14ac:dyDescent="0.2">
      <c r="C46" s="64">
        <v>45870</v>
      </c>
      <c r="D46" s="64"/>
      <c r="E46" s="68">
        <v>5243.75</v>
      </c>
      <c r="F46" s="68"/>
      <c r="G46" s="84">
        <v>0.65251076405230002</v>
      </c>
      <c r="H46" s="84"/>
      <c r="I46" s="68">
        <v>3421.6033189994041</v>
      </c>
      <c r="J46" s="68"/>
      <c r="K46" s="68">
        <v>859038.06314223597</v>
      </c>
    </row>
    <row r="47" spans="3:11" ht="10.9" customHeight="1" x14ac:dyDescent="0.2">
      <c r="C47" s="64">
        <v>46054</v>
      </c>
      <c r="D47" s="65"/>
      <c r="E47" s="66">
        <v>60243.75</v>
      </c>
      <c r="F47" s="66"/>
      <c r="G47" s="83">
        <v>0.64319130797830004</v>
      </c>
      <c r="H47" s="83"/>
      <c r="I47" s="66">
        <v>38748.256360016749</v>
      </c>
      <c r="J47" s="66"/>
      <c r="K47" s="68">
        <v>897786.31950225204</v>
      </c>
    </row>
    <row r="48" spans="3:11" ht="10.9" customHeight="1" x14ac:dyDescent="0.2">
      <c r="C48" s="64">
        <v>46235</v>
      </c>
      <c r="D48" s="65"/>
      <c r="E48" s="66">
        <v>4350</v>
      </c>
      <c r="F48" s="66"/>
      <c r="G48" s="83">
        <v>0.63400495662269996</v>
      </c>
      <c r="H48" s="83"/>
      <c r="I48" s="66">
        <v>2757.9215613085712</v>
      </c>
      <c r="J48" s="66"/>
      <c r="K48" s="68">
        <v>900544.24106356106</v>
      </c>
    </row>
    <row r="49" spans="3:11" ht="10.9" customHeight="1" x14ac:dyDescent="0.2">
      <c r="C49" s="64">
        <v>46419</v>
      </c>
      <c r="D49" s="65"/>
      <c r="E49" s="66">
        <v>64350</v>
      </c>
      <c r="F49" s="66"/>
      <c r="G49" s="83">
        <v>0.62494980892319996</v>
      </c>
      <c r="H49" s="83"/>
      <c r="I49" s="66">
        <v>40215.520204208842</v>
      </c>
      <c r="J49" s="66"/>
      <c r="K49" s="68">
        <v>940759.76126776997</v>
      </c>
    </row>
    <row r="50" spans="3:11" ht="10.9" customHeight="1" x14ac:dyDescent="0.2">
      <c r="C50" s="64">
        <v>46600</v>
      </c>
      <c r="D50" s="65"/>
      <c r="E50" s="66">
        <v>3300</v>
      </c>
      <c r="F50" s="66"/>
      <c r="G50" s="83">
        <v>0.6160239909695</v>
      </c>
      <c r="H50" s="83"/>
      <c r="I50" s="66">
        <v>2032.8791701994869</v>
      </c>
      <c r="J50" s="66"/>
      <c r="K50" s="68">
        <v>942792.64043796901</v>
      </c>
    </row>
    <row r="51" spans="3:11" ht="10.9" customHeight="1" x14ac:dyDescent="0.2">
      <c r="C51" s="64">
        <v>46784</v>
      </c>
      <c r="D51" s="64"/>
      <c r="E51" s="68">
        <v>63300</v>
      </c>
      <c r="F51" s="68"/>
      <c r="G51" s="84">
        <v>0.60722565561529995</v>
      </c>
      <c r="H51" s="84"/>
      <c r="I51" s="68">
        <v>38437.384000447113</v>
      </c>
      <c r="J51" s="68"/>
      <c r="K51" s="68">
        <v>981230.024438416</v>
      </c>
    </row>
    <row r="52" spans="3:11" ht="10.9" customHeight="1" x14ac:dyDescent="0.2">
      <c r="C52" s="64">
        <v>46966</v>
      </c>
      <c r="D52" s="65"/>
      <c r="E52" s="66">
        <v>2250</v>
      </c>
      <c r="F52" s="66"/>
      <c r="G52" s="83">
        <v>0.59855298209579999</v>
      </c>
      <c r="H52" s="83"/>
      <c r="I52" s="66">
        <v>1346.7442097156579</v>
      </c>
      <c r="J52" s="66"/>
      <c r="K52" s="68">
        <v>982576.76864813198</v>
      </c>
    </row>
    <row r="53" spans="3:11" ht="10.9" customHeight="1" x14ac:dyDescent="0.2">
      <c r="C53" s="64">
        <v>47150</v>
      </c>
      <c r="D53" s="65"/>
      <c r="E53" s="66">
        <v>62250</v>
      </c>
      <c r="F53" s="66"/>
      <c r="G53" s="83">
        <v>0.59000417565170005</v>
      </c>
      <c r="H53" s="83"/>
      <c r="I53" s="66">
        <v>36727.759934315938</v>
      </c>
      <c r="J53" s="66"/>
      <c r="K53" s="68">
        <v>1019304.528582448</v>
      </c>
    </row>
    <row r="54" spans="3:11" ht="10.9" customHeight="1" x14ac:dyDescent="0.2">
      <c r="C54" s="64">
        <v>47331</v>
      </c>
      <c r="D54" s="65"/>
      <c r="E54" s="66">
        <v>1125</v>
      </c>
      <c r="F54" s="66"/>
      <c r="G54" s="83">
        <v>0.5815774671567</v>
      </c>
      <c r="H54" s="83"/>
      <c r="I54" s="66">
        <v>654.27465055129551</v>
      </c>
      <c r="J54" s="66"/>
      <c r="K54" s="68">
        <v>1019958.8032329991</v>
      </c>
    </row>
    <row r="55" spans="3:11" ht="10.9" customHeight="1" x14ac:dyDescent="0.2">
      <c r="C55" s="64">
        <v>47515</v>
      </c>
      <c r="D55" s="65"/>
      <c r="E55" s="66">
        <v>61125</v>
      </c>
      <c r="F55" s="66"/>
      <c r="G55" s="83">
        <v>0.57327111275239995</v>
      </c>
      <c r="H55" s="83"/>
      <c r="I55" s="66">
        <v>35041.196766992543</v>
      </c>
      <c r="J55" s="66"/>
      <c r="K55" s="68">
        <v>1054999.9999999921</v>
      </c>
    </row>
    <row r="56" spans="3:11" ht="1.35" customHeight="1" x14ac:dyDescent="0.2">
      <c r="C56" s="62"/>
      <c r="D56" s="63"/>
      <c r="E56" s="63"/>
      <c r="F56" s="63"/>
      <c r="G56" s="63"/>
      <c r="H56" s="63"/>
      <c r="I56" s="63"/>
      <c r="J56" s="63"/>
      <c r="K56" s="62"/>
    </row>
    <row r="57" spans="3:11" ht="1.35" customHeight="1" x14ac:dyDescent="0.2">
      <c r="C57" s="62"/>
      <c r="D57" s="62"/>
      <c r="E57" s="62"/>
      <c r="F57" s="62"/>
      <c r="G57" s="62"/>
      <c r="H57" s="62"/>
      <c r="I57" s="62"/>
      <c r="J57" s="62"/>
      <c r="K57" s="62"/>
    </row>
    <row r="58" spans="3:11" ht="12.75" customHeight="1" x14ac:dyDescent="0.2">
      <c r="C58" s="70">
        <v>0</v>
      </c>
      <c r="D58" s="70"/>
      <c r="E58" s="71">
        <v>1390113.4</v>
      </c>
      <c r="F58" s="71"/>
      <c r="G58" s="72">
        <v>0</v>
      </c>
      <c r="H58" s="72"/>
      <c r="I58" s="71">
        <v>1055000</v>
      </c>
      <c r="J58" s="71"/>
      <c r="K58" s="72">
        <v>0</v>
      </c>
    </row>
    <row r="59" spans="3:11" ht="1.35" customHeight="1" x14ac:dyDescent="0.2"/>
    <row r="60" spans="3:11" ht="10.9" customHeight="1" x14ac:dyDescent="0.2"/>
    <row r="61" spans="3:11" ht="10.9" customHeight="1" x14ac:dyDescent="0.2">
      <c r="C61" s="44" t="s">
        <v>114</v>
      </c>
      <c r="D61" s="44"/>
      <c r="E61" s="73"/>
      <c r="F61" s="73"/>
      <c r="G61" s="73"/>
      <c r="H61" s="73"/>
      <c r="I61" s="73"/>
      <c r="J61" s="73"/>
      <c r="K61" s="45" t="s">
        <v>49</v>
      </c>
    </row>
    <row r="62" spans="3:11" ht="10.9" customHeight="1" x14ac:dyDescent="0.2">
      <c r="C62" s="74" t="s">
        <v>46</v>
      </c>
      <c r="D62" s="74"/>
      <c r="K62" s="75" t="s">
        <v>49</v>
      </c>
    </row>
    <row r="63" spans="3:11" ht="10.9" customHeight="1" x14ac:dyDescent="0.2">
      <c r="C63" s="46" t="s">
        <v>54</v>
      </c>
      <c r="D63" s="46"/>
      <c r="E63" s="62"/>
      <c r="F63" s="62"/>
      <c r="G63" s="62"/>
      <c r="H63" s="62"/>
      <c r="I63" s="62"/>
      <c r="J63" s="62"/>
      <c r="K63" s="47">
        <v>1055000</v>
      </c>
    </row>
    <row r="64" spans="3:11" ht="10.9" customHeight="1" x14ac:dyDescent="0.2">
      <c r="C64" s="49" t="s">
        <v>46</v>
      </c>
      <c r="D64" s="74"/>
      <c r="K64" s="50" t="s">
        <v>49</v>
      </c>
    </row>
    <row r="65" spans="1:11" ht="10.9" customHeight="1" x14ac:dyDescent="0.2">
      <c r="C65" s="46" t="s">
        <v>115</v>
      </c>
      <c r="D65" s="46"/>
      <c r="E65" s="62"/>
      <c r="F65" s="62"/>
      <c r="G65" s="62"/>
      <c r="H65" s="62"/>
      <c r="I65" s="62"/>
      <c r="J65" s="62"/>
      <c r="K65" s="47">
        <v>1055000</v>
      </c>
    </row>
    <row r="66" spans="1:11" ht="16.350000000000001" customHeight="1" x14ac:dyDescent="0.2"/>
    <row r="67" spans="1:11" ht="0.95" customHeight="1" x14ac:dyDescent="0.2"/>
    <row r="68" spans="1:11" ht="12.75" customHeight="1" x14ac:dyDescent="0.2">
      <c r="C68" s="54" t="s">
        <v>63</v>
      </c>
      <c r="D68" s="54"/>
      <c r="E68" s="54"/>
      <c r="F68" s="54"/>
      <c r="G68" s="54"/>
      <c r="H68" s="54"/>
      <c r="I68" s="54"/>
      <c r="J68" s="54"/>
      <c r="K68" s="54"/>
    </row>
    <row r="69" spans="1:11" ht="12.75" customHeight="1" x14ac:dyDescent="0.3">
      <c r="C69" s="55"/>
      <c r="D69" s="55"/>
      <c r="E69" s="55"/>
      <c r="F69" s="55"/>
      <c r="G69" s="55"/>
      <c r="H69" s="55"/>
      <c r="I69" s="55"/>
      <c r="J69" s="55"/>
      <c r="K69" s="55"/>
    </row>
    <row r="70" spans="1:11" ht="18.75" customHeight="1" x14ac:dyDescent="0.3">
      <c r="C70" s="56" t="s">
        <v>0</v>
      </c>
      <c r="D70" s="56"/>
      <c r="E70" s="56"/>
      <c r="F70" s="56"/>
      <c r="G70" s="56"/>
      <c r="H70" s="56"/>
      <c r="I70" s="56"/>
      <c r="J70" s="56"/>
      <c r="K70" s="56"/>
    </row>
    <row r="71" spans="1:11" ht="12.75" customHeight="1" x14ac:dyDescent="0.2">
      <c r="C71" s="57" t="s">
        <v>64</v>
      </c>
      <c r="D71" s="57"/>
      <c r="E71" s="57"/>
      <c r="F71" s="57"/>
      <c r="G71" s="57"/>
      <c r="H71" s="57"/>
      <c r="I71" s="57"/>
      <c r="J71" s="57"/>
      <c r="K71" s="58" t="s">
        <v>116</v>
      </c>
    </row>
    <row r="73" spans="1:11" ht="2.1" customHeight="1" x14ac:dyDescent="0.2">
      <c r="A73" s="36" t="s">
        <v>46</v>
      </c>
    </row>
  </sheetData>
  <printOptions horizontalCentered="1"/>
  <pageMargins left="0.25059105764550449" right="0.25059105764550449" top="0.25059105764550449" bottom="0.25059105764550449" header="0.5" footer="0.5"/>
  <pageSetup orientation="portrait" horizontalDpi="0" verticalDpi="0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O59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4.7109375" style="36" customWidth="1"/>
    <col min="5" max="5" width="11.42578125" style="36" customWidth="1"/>
    <col min="6" max="6" width="4.7109375" style="36" customWidth="1"/>
    <col min="7" max="7" width="8.28515625" style="36" customWidth="1"/>
    <col min="8" max="8" width="4.7109375" style="36" customWidth="1"/>
    <col min="9" max="9" width="11.42578125" style="36" customWidth="1"/>
    <col min="10" max="10" width="4.7109375" style="36" customWidth="1"/>
    <col min="11" max="11" width="10.42578125" style="36" customWidth="1"/>
    <col min="12" max="12" width="4.7109375" style="36" customWidth="1"/>
    <col min="13" max="13" width="11.7109375" style="36" customWidth="1"/>
    <col min="14" max="14" width="8.5703125" style="36" customWidth="1"/>
    <col min="15" max="16" width="0.42578125" style="36" customWidth="1"/>
    <col min="17" max="17" width="9.140625" style="36" customWidth="1"/>
    <col min="18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4.7109375" style="36" customWidth="1"/>
    <col min="261" max="261" width="11.42578125" style="36" customWidth="1"/>
    <col min="262" max="262" width="4.7109375" style="36" customWidth="1"/>
    <col min="263" max="263" width="8.28515625" style="36" customWidth="1"/>
    <col min="264" max="264" width="4.7109375" style="36" customWidth="1"/>
    <col min="265" max="265" width="11.42578125" style="36" customWidth="1"/>
    <col min="266" max="266" width="4.7109375" style="36" customWidth="1"/>
    <col min="267" max="267" width="10.42578125" style="36" customWidth="1"/>
    <col min="268" max="268" width="4.7109375" style="36" customWidth="1"/>
    <col min="269" max="269" width="11.7109375" style="36" customWidth="1"/>
    <col min="270" max="270" width="8.5703125" style="36" customWidth="1"/>
    <col min="271" max="272" width="0.42578125" style="36" customWidth="1"/>
    <col min="273" max="273" width="9.140625" style="36" customWidth="1"/>
    <col min="274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4.7109375" style="36" customWidth="1"/>
    <col min="517" max="517" width="11.42578125" style="36" customWidth="1"/>
    <col min="518" max="518" width="4.7109375" style="36" customWidth="1"/>
    <col min="519" max="519" width="8.28515625" style="36" customWidth="1"/>
    <col min="520" max="520" width="4.7109375" style="36" customWidth="1"/>
    <col min="521" max="521" width="11.42578125" style="36" customWidth="1"/>
    <col min="522" max="522" width="4.7109375" style="36" customWidth="1"/>
    <col min="523" max="523" width="10.42578125" style="36" customWidth="1"/>
    <col min="524" max="524" width="4.7109375" style="36" customWidth="1"/>
    <col min="525" max="525" width="11.7109375" style="36" customWidth="1"/>
    <col min="526" max="526" width="8.5703125" style="36" customWidth="1"/>
    <col min="527" max="528" width="0.42578125" style="36" customWidth="1"/>
    <col min="529" max="529" width="9.140625" style="36" customWidth="1"/>
    <col min="530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4.7109375" style="36" customWidth="1"/>
    <col min="773" max="773" width="11.42578125" style="36" customWidth="1"/>
    <col min="774" max="774" width="4.7109375" style="36" customWidth="1"/>
    <col min="775" max="775" width="8.28515625" style="36" customWidth="1"/>
    <col min="776" max="776" width="4.7109375" style="36" customWidth="1"/>
    <col min="777" max="777" width="11.42578125" style="36" customWidth="1"/>
    <col min="778" max="778" width="4.7109375" style="36" customWidth="1"/>
    <col min="779" max="779" width="10.42578125" style="36" customWidth="1"/>
    <col min="780" max="780" width="4.7109375" style="36" customWidth="1"/>
    <col min="781" max="781" width="11.7109375" style="36" customWidth="1"/>
    <col min="782" max="782" width="8.5703125" style="36" customWidth="1"/>
    <col min="783" max="784" width="0.42578125" style="36" customWidth="1"/>
    <col min="785" max="785" width="9.140625" style="36" customWidth="1"/>
    <col min="786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4.7109375" style="36" customWidth="1"/>
    <col min="1029" max="1029" width="11.42578125" style="36" customWidth="1"/>
    <col min="1030" max="1030" width="4.7109375" style="36" customWidth="1"/>
    <col min="1031" max="1031" width="8.28515625" style="36" customWidth="1"/>
    <col min="1032" max="1032" width="4.7109375" style="36" customWidth="1"/>
    <col min="1033" max="1033" width="11.42578125" style="36" customWidth="1"/>
    <col min="1034" max="1034" width="4.7109375" style="36" customWidth="1"/>
    <col min="1035" max="1035" width="10.42578125" style="36" customWidth="1"/>
    <col min="1036" max="1036" width="4.7109375" style="36" customWidth="1"/>
    <col min="1037" max="1037" width="11.7109375" style="36" customWidth="1"/>
    <col min="1038" max="1038" width="8.5703125" style="36" customWidth="1"/>
    <col min="1039" max="1040" width="0.42578125" style="36" customWidth="1"/>
    <col min="1041" max="1041" width="9.140625" style="36" customWidth="1"/>
    <col min="1042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4.7109375" style="36" customWidth="1"/>
    <col min="1285" max="1285" width="11.42578125" style="36" customWidth="1"/>
    <col min="1286" max="1286" width="4.7109375" style="36" customWidth="1"/>
    <col min="1287" max="1287" width="8.28515625" style="36" customWidth="1"/>
    <col min="1288" max="1288" width="4.7109375" style="36" customWidth="1"/>
    <col min="1289" max="1289" width="11.42578125" style="36" customWidth="1"/>
    <col min="1290" max="1290" width="4.7109375" style="36" customWidth="1"/>
    <col min="1291" max="1291" width="10.42578125" style="36" customWidth="1"/>
    <col min="1292" max="1292" width="4.7109375" style="36" customWidth="1"/>
    <col min="1293" max="1293" width="11.7109375" style="36" customWidth="1"/>
    <col min="1294" max="1294" width="8.5703125" style="36" customWidth="1"/>
    <col min="1295" max="1296" width="0.42578125" style="36" customWidth="1"/>
    <col min="1297" max="1297" width="9.140625" style="36" customWidth="1"/>
    <col min="1298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4.7109375" style="36" customWidth="1"/>
    <col min="1541" max="1541" width="11.42578125" style="36" customWidth="1"/>
    <col min="1542" max="1542" width="4.7109375" style="36" customWidth="1"/>
    <col min="1543" max="1543" width="8.28515625" style="36" customWidth="1"/>
    <col min="1544" max="1544" width="4.7109375" style="36" customWidth="1"/>
    <col min="1545" max="1545" width="11.42578125" style="36" customWidth="1"/>
    <col min="1546" max="1546" width="4.7109375" style="36" customWidth="1"/>
    <col min="1547" max="1547" width="10.42578125" style="36" customWidth="1"/>
    <col min="1548" max="1548" width="4.7109375" style="36" customWidth="1"/>
    <col min="1549" max="1549" width="11.7109375" style="36" customWidth="1"/>
    <col min="1550" max="1550" width="8.5703125" style="36" customWidth="1"/>
    <col min="1551" max="1552" width="0.42578125" style="36" customWidth="1"/>
    <col min="1553" max="1553" width="9.140625" style="36" customWidth="1"/>
    <col min="1554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4.7109375" style="36" customWidth="1"/>
    <col min="1797" max="1797" width="11.42578125" style="36" customWidth="1"/>
    <col min="1798" max="1798" width="4.7109375" style="36" customWidth="1"/>
    <col min="1799" max="1799" width="8.28515625" style="36" customWidth="1"/>
    <col min="1800" max="1800" width="4.7109375" style="36" customWidth="1"/>
    <col min="1801" max="1801" width="11.42578125" style="36" customWidth="1"/>
    <col min="1802" max="1802" width="4.7109375" style="36" customWidth="1"/>
    <col min="1803" max="1803" width="10.42578125" style="36" customWidth="1"/>
    <col min="1804" max="1804" width="4.7109375" style="36" customWidth="1"/>
    <col min="1805" max="1805" width="11.7109375" style="36" customWidth="1"/>
    <col min="1806" max="1806" width="8.5703125" style="36" customWidth="1"/>
    <col min="1807" max="1808" width="0.42578125" style="36" customWidth="1"/>
    <col min="1809" max="1809" width="9.140625" style="36" customWidth="1"/>
    <col min="1810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4.7109375" style="36" customWidth="1"/>
    <col min="2053" max="2053" width="11.42578125" style="36" customWidth="1"/>
    <col min="2054" max="2054" width="4.7109375" style="36" customWidth="1"/>
    <col min="2055" max="2055" width="8.28515625" style="36" customWidth="1"/>
    <col min="2056" max="2056" width="4.7109375" style="36" customWidth="1"/>
    <col min="2057" max="2057" width="11.42578125" style="36" customWidth="1"/>
    <col min="2058" max="2058" width="4.7109375" style="36" customWidth="1"/>
    <col min="2059" max="2059" width="10.42578125" style="36" customWidth="1"/>
    <col min="2060" max="2060" width="4.7109375" style="36" customWidth="1"/>
    <col min="2061" max="2061" width="11.7109375" style="36" customWidth="1"/>
    <col min="2062" max="2062" width="8.5703125" style="36" customWidth="1"/>
    <col min="2063" max="2064" width="0.42578125" style="36" customWidth="1"/>
    <col min="2065" max="2065" width="9.140625" style="36" customWidth="1"/>
    <col min="2066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4.7109375" style="36" customWidth="1"/>
    <col min="2309" max="2309" width="11.42578125" style="36" customWidth="1"/>
    <col min="2310" max="2310" width="4.7109375" style="36" customWidth="1"/>
    <col min="2311" max="2311" width="8.28515625" style="36" customWidth="1"/>
    <col min="2312" max="2312" width="4.7109375" style="36" customWidth="1"/>
    <col min="2313" max="2313" width="11.42578125" style="36" customWidth="1"/>
    <col min="2314" max="2314" width="4.7109375" style="36" customWidth="1"/>
    <col min="2315" max="2315" width="10.42578125" style="36" customWidth="1"/>
    <col min="2316" max="2316" width="4.7109375" style="36" customWidth="1"/>
    <col min="2317" max="2317" width="11.7109375" style="36" customWidth="1"/>
    <col min="2318" max="2318" width="8.5703125" style="36" customWidth="1"/>
    <col min="2319" max="2320" width="0.42578125" style="36" customWidth="1"/>
    <col min="2321" max="2321" width="9.140625" style="36" customWidth="1"/>
    <col min="2322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4.7109375" style="36" customWidth="1"/>
    <col min="2565" max="2565" width="11.42578125" style="36" customWidth="1"/>
    <col min="2566" max="2566" width="4.7109375" style="36" customWidth="1"/>
    <col min="2567" max="2567" width="8.28515625" style="36" customWidth="1"/>
    <col min="2568" max="2568" width="4.7109375" style="36" customWidth="1"/>
    <col min="2569" max="2569" width="11.42578125" style="36" customWidth="1"/>
    <col min="2570" max="2570" width="4.7109375" style="36" customWidth="1"/>
    <col min="2571" max="2571" width="10.42578125" style="36" customWidth="1"/>
    <col min="2572" max="2572" width="4.7109375" style="36" customWidth="1"/>
    <col min="2573" max="2573" width="11.7109375" style="36" customWidth="1"/>
    <col min="2574" max="2574" width="8.5703125" style="36" customWidth="1"/>
    <col min="2575" max="2576" width="0.42578125" style="36" customWidth="1"/>
    <col min="2577" max="2577" width="9.140625" style="36" customWidth="1"/>
    <col min="2578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4.7109375" style="36" customWidth="1"/>
    <col min="2821" max="2821" width="11.42578125" style="36" customWidth="1"/>
    <col min="2822" max="2822" width="4.7109375" style="36" customWidth="1"/>
    <col min="2823" max="2823" width="8.28515625" style="36" customWidth="1"/>
    <col min="2824" max="2824" width="4.7109375" style="36" customWidth="1"/>
    <col min="2825" max="2825" width="11.42578125" style="36" customWidth="1"/>
    <col min="2826" max="2826" width="4.7109375" style="36" customWidth="1"/>
    <col min="2827" max="2827" width="10.42578125" style="36" customWidth="1"/>
    <col min="2828" max="2828" width="4.7109375" style="36" customWidth="1"/>
    <col min="2829" max="2829" width="11.7109375" style="36" customWidth="1"/>
    <col min="2830" max="2830" width="8.5703125" style="36" customWidth="1"/>
    <col min="2831" max="2832" width="0.42578125" style="36" customWidth="1"/>
    <col min="2833" max="2833" width="9.140625" style="36" customWidth="1"/>
    <col min="2834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4.7109375" style="36" customWidth="1"/>
    <col min="3077" max="3077" width="11.42578125" style="36" customWidth="1"/>
    <col min="3078" max="3078" width="4.7109375" style="36" customWidth="1"/>
    <col min="3079" max="3079" width="8.28515625" style="36" customWidth="1"/>
    <col min="3080" max="3080" width="4.7109375" style="36" customWidth="1"/>
    <col min="3081" max="3081" width="11.42578125" style="36" customWidth="1"/>
    <col min="3082" max="3082" width="4.7109375" style="36" customWidth="1"/>
    <col min="3083" max="3083" width="10.42578125" style="36" customWidth="1"/>
    <col min="3084" max="3084" width="4.7109375" style="36" customWidth="1"/>
    <col min="3085" max="3085" width="11.7109375" style="36" customWidth="1"/>
    <col min="3086" max="3086" width="8.5703125" style="36" customWidth="1"/>
    <col min="3087" max="3088" width="0.42578125" style="36" customWidth="1"/>
    <col min="3089" max="3089" width="9.140625" style="36" customWidth="1"/>
    <col min="3090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4.7109375" style="36" customWidth="1"/>
    <col min="3333" max="3333" width="11.42578125" style="36" customWidth="1"/>
    <col min="3334" max="3334" width="4.7109375" style="36" customWidth="1"/>
    <col min="3335" max="3335" width="8.28515625" style="36" customWidth="1"/>
    <col min="3336" max="3336" width="4.7109375" style="36" customWidth="1"/>
    <col min="3337" max="3337" width="11.42578125" style="36" customWidth="1"/>
    <col min="3338" max="3338" width="4.7109375" style="36" customWidth="1"/>
    <col min="3339" max="3339" width="10.42578125" style="36" customWidth="1"/>
    <col min="3340" max="3340" width="4.7109375" style="36" customWidth="1"/>
    <col min="3341" max="3341" width="11.7109375" style="36" customWidth="1"/>
    <col min="3342" max="3342" width="8.5703125" style="36" customWidth="1"/>
    <col min="3343" max="3344" width="0.42578125" style="36" customWidth="1"/>
    <col min="3345" max="3345" width="9.140625" style="36" customWidth="1"/>
    <col min="3346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4.7109375" style="36" customWidth="1"/>
    <col min="3589" max="3589" width="11.42578125" style="36" customWidth="1"/>
    <col min="3590" max="3590" width="4.7109375" style="36" customWidth="1"/>
    <col min="3591" max="3591" width="8.28515625" style="36" customWidth="1"/>
    <col min="3592" max="3592" width="4.7109375" style="36" customWidth="1"/>
    <col min="3593" max="3593" width="11.42578125" style="36" customWidth="1"/>
    <col min="3594" max="3594" width="4.7109375" style="36" customWidth="1"/>
    <col min="3595" max="3595" width="10.42578125" style="36" customWidth="1"/>
    <col min="3596" max="3596" width="4.7109375" style="36" customWidth="1"/>
    <col min="3597" max="3597" width="11.7109375" style="36" customWidth="1"/>
    <col min="3598" max="3598" width="8.5703125" style="36" customWidth="1"/>
    <col min="3599" max="3600" width="0.42578125" style="36" customWidth="1"/>
    <col min="3601" max="3601" width="9.140625" style="36" customWidth="1"/>
    <col min="3602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4.7109375" style="36" customWidth="1"/>
    <col min="3845" max="3845" width="11.42578125" style="36" customWidth="1"/>
    <col min="3846" max="3846" width="4.7109375" style="36" customWidth="1"/>
    <col min="3847" max="3847" width="8.28515625" style="36" customWidth="1"/>
    <col min="3848" max="3848" width="4.7109375" style="36" customWidth="1"/>
    <col min="3849" max="3849" width="11.42578125" style="36" customWidth="1"/>
    <col min="3850" max="3850" width="4.7109375" style="36" customWidth="1"/>
    <col min="3851" max="3851" width="10.42578125" style="36" customWidth="1"/>
    <col min="3852" max="3852" width="4.7109375" style="36" customWidth="1"/>
    <col min="3853" max="3853" width="11.7109375" style="36" customWidth="1"/>
    <col min="3854" max="3854" width="8.5703125" style="36" customWidth="1"/>
    <col min="3855" max="3856" width="0.42578125" style="36" customWidth="1"/>
    <col min="3857" max="3857" width="9.140625" style="36" customWidth="1"/>
    <col min="3858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4.7109375" style="36" customWidth="1"/>
    <col min="4101" max="4101" width="11.42578125" style="36" customWidth="1"/>
    <col min="4102" max="4102" width="4.7109375" style="36" customWidth="1"/>
    <col min="4103" max="4103" width="8.28515625" style="36" customWidth="1"/>
    <col min="4104" max="4104" width="4.7109375" style="36" customWidth="1"/>
    <col min="4105" max="4105" width="11.42578125" style="36" customWidth="1"/>
    <col min="4106" max="4106" width="4.7109375" style="36" customWidth="1"/>
    <col min="4107" max="4107" width="10.42578125" style="36" customWidth="1"/>
    <col min="4108" max="4108" width="4.7109375" style="36" customWidth="1"/>
    <col min="4109" max="4109" width="11.7109375" style="36" customWidth="1"/>
    <col min="4110" max="4110" width="8.5703125" style="36" customWidth="1"/>
    <col min="4111" max="4112" width="0.42578125" style="36" customWidth="1"/>
    <col min="4113" max="4113" width="9.140625" style="36" customWidth="1"/>
    <col min="4114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4.7109375" style="36" customWidth="1"/>
    <col min="4357" max="4357" width="11.42578125" style="36" customWidth="1"/>
    <col min="4358" max="4358" width="4.7109375" style="36" customWidth="1"/>
    <col min="4359" max="4359" width="8.28515625" style="36" customWidth="1"/>
    <col min="4360" max="4360" width="4.7109375" style="36" customWidth="1"/>
    <col min="4361" max="4361" width="11.42578125" style="36" customWidth="1"/>
    <col min="4362" max="4362" width="4.7109375" style="36" customWidth="1"/>
    <col min="4363" max="4363" width="10.42578125" style="36" customWidth="1"/>
    <col min="4364" max="4364" width="4.7109375" style="36" customWidth="1"/>
    <col min="4365" max="4365" width="11.7109375" style="36" customWidth="1"/>
    <col min="4366" max="4366" width="8.5703125" style="36" customWidth="1"/>
    <col min="4367" max="4368" width="0.42578125" style="36" customWidth="1"/>
    <col min="4369" max="4369" width="9.140625" style="36" customWidth="1"/>
    <col min="4370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4.7109375" style="36" customWidth="1"/>
    <col min="4613" max="4613" width="11.42578125" style="36" customWidth="1"/>
    <col min="4614" max="4614" width="4.7109375" style="36" customWidth="1"/>
    <col min="4615" max="4615" width="8.28515625" style="36" customWidth="1"/>
    <col min="4616" max="4616" width="4.7109375" style="36" customWidth="1"/>
    <col min="4617" max="4617" width="11.42578125" style="36" customWidth="1"/>
    <col min="4618" max="4618" width="4.7109375" style="36" customWidth="1"/>
    <col min="4619" max="4619" width="10.42578125" style="36" customWidth="1"/>
    <col min="4620" max="4620" width="4.7109375" style="36" customWidth="1"/>
    <col min="4621" max="4621" width="11.7109375" style="36" customWidth="1"/>
    <col min="4622" max="4622" width="8.5703125" style="36" customWidth="1"/>
    <col min="4623" max="4624" width="0.42578125" style="36" customWidth="1"/>
    <col min="4625" max="4625" width="9.140625" style="36" customWidth="1"/>
    <col min="4626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4.7109375" style="36" customWidth="1"/>
    <col min="4869" max="4869" width="11.42578125" style="36" customWidth="1"/>
    <col min="4870" max="4870" width="4.7109375" style="36" customWidth="1"/>
    <col min="4871" max="4871" width="8.28515625" style="36" customWidth="1"/>
    <col min="4872" max="4872" width="4.7109375" style="36" customWidth="1"/>
    <col min="4873" max="4873" width="11.42578125" style="36" customWidth="1"/>
    <col min="4874" max="4874" width="4.7109375" style="36" customWidth="1"/>
    <col min="4875" max="4875" width="10.42578125" style="36" customWidth="1"/>
    <col min="4876" max="4876" width="4.7109375" style="36" customWidth="1"/>
    <col min="4877" max="4877" width="11.7109375" style="36" customWidth="1"/>
    <col min="4878" max="4878" width="8.5703125" style="36" customWidth="1"/>
    <col min="4879" max="4880" width="0.42578125" style="36" customWidth="1"/>
    <col min="4881" max="4881" width="9.140625" style="36" customWidth="1"/>
    <col min="4882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4.7109375" style="36" customWidth="1"/>
    <col min="5125" max="5125" width="11.42578125" style="36" customWidth="1"/>
    <col min="5126" max="5126" width="4.7109375" style="36" customWidth="1"/>
    <col min="5127" max="5127" width="8.28515625" style="36" customWidth="1"/>
    <col min="5128" max="5128" width="4.7109375" style="36" customWidth="1"/>
    <col min="5129" max="5129" width="11.42578125" style="36" customWidth="1"/>
    <col min="5130" max="5130" width="4.7109375" style="36" customWidth="1"/>
    <col min="5131" max="5131" width="10.42578125" style="36" customWidth="1"/>
    <col min="5132" max="5132" width="4.7109375" style="36" customWidth="1"/>
    <col min="5133" max="5133" width="11.7109375" style="36" customWidth="1"/>
    <col min="5134" max="5134" width="8.5703125" style="36" customWidth="1"/>
    <col min="5135" max="5136" width="0.42578125" style="36" customWidth="1"/>
    <col min="5137" max="5137" width="9.140625" style="36" customWidth="1"/>
    <col min="5138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4.7109375" style="36" customWidth="1"/>
    <col min="5381" max="5381" width="11.42578125" style="36" customWidth="1"/>
    <col min="5382" max="5382" width="4.7109375" style="36" customWidth="1"/>
    <col min="5383" max="5383" width="8.28515625" style="36" customWidth="1"/>
    <col min="5384" max="5384" width="4.7109375" style="36" customWidth="1"/>
    <col min="5385" max="5385" width="11.42578125" style="36" customWidth="1"/>
    <col min="5386" max="5386" width="4.7109375" style="36" customWidth="1"/>
    <col min="5387" max="5387" width="10.42578125" style="36" customWidth="1"/>
    <col min="5388" max="5388" width="4.7109375" style="36" customWidth="1"/>
    <col min="5389" max="5389" width="11.7109375" style="36" customWidth="1"/>
    <col min="5390" max="5390" width="8.5703125" style="36" customWidth="1"/>
    <col min="5391" max="5392" width="0.42578125" style="36" customWidth="1"/>
    <col min="5393" max="5393" width="9.140625" style="36" customWidth="1"/>
    <col min="5394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4.7109375" style="36" customWidth="1"/>
    <col min="5637" max="5637" width="11.42578125" style="36" customWidth="1"/>
    <col min="5638" max="5638" width="4.7109375" style="36" customWidth="1"/>
    <col min="5639" max="5639" width="8.28515625" style="36" customWidth="1"/>
    <col min="5640" max="5640" width="4.7109375" style="36" customWidth="1"/>
    <col min="5641" max="5641" width="11.42578125" style="36" customWidth="1"/>
    <col min="5642" max="5642" width="4.7109375" style="36" customWidth="1"/>
    <col min="5643" max="5643" width="10.42578125" style="36" customWidth="1"/>
    <col min="5644" max="5644" width="4.7109375" style="36" customWidth="1"/>
    <col min="5645" max="5645" width="11.7109375" style="36" customWidth="1"/>
    <col min="5646" max="5646" width="8.5703125" style="36" customWidth="1"/>
    <col min="5647" max="5648" width="0.42578125" style="36" customWidth="1"/>
    <col min="5649" max="5649" width="9.140625" style="36" customWidth="1"/>
    <col min="5650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4.7109375" style="36" customWidth="1"/>
    <col min="5893" max="5893" width="11.42578125" style="36" customWidth="1"/>
    <col min="5894" max="5894" width="4.7109375" style="36" customWidth="1"/>
    <col min="5895" max="5895" width="8.28515625" style="36" customWidth="1"/>
    <col min="5896" max="5896" width="4.7109375" style="36" customWidth="1"/>
    <col min="5897" max="5897" width="11.42578125" style="36" customWidth="1"/>
    <col min="5898" max="5898" width="4.7109375" style="36" customWidth="1"/>
    <col min="5899" max="5899" width="10.42578125" style="36" customWidth="1"/>
    <col min="5900" max="5900" width="4.7109375" style="36" customWidth="1"/>
    <col min="5901" max="5901" width="11.7109375" style="36" customWidth="1"/>
    <col min="5902" max="5902" width="8.5703125" style="36" customWidth="1"/>
    <col min="5903" max="5904" width="0.42578125" style="36" customWidth="1"/>
    <col min="5905" max="5905" width="9.140625" style="36" customWidth="1"/>
    <col min="5906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4.7109375" style="36" customWidth="1"/>
    <col min="6149" max="6149" width="11.42578125" style="36" customWidth="1"/>
    <col min="6150" max="6150" width="4.7109375" style="36" customWidth="1"/>
    <col min="6151" max="6151" width="8.28515625" style="36" customWidth="1"/>
    <col min="6152" max="6152" width="4.7109375" style="36" customWidth="1"/>
    <col min="6153" max="6153" width="11.42578125" style="36" customWidth="1"/>
    <col min="6154" max="6154" width="4.7109375" style="36" customWidth="1"/>
    <col min="6155" max="6155" width="10.42578125" style="36" customWidth="1"/>
    <col min="6156" max="6156" width="4.7109375" style="36" customWidth="1"/>
    <col min="6157" max="6157" width="11.7109375" style="36" customWidth="1"/>
    <col min="6158" max="6158" width="8.5703125" style="36" customWidth="1"/>
    <col min="6159" max="6160" width="0.42578125" style="36" customWidth="1"/>
    <col min="6161" max="6161" width="9.140625" style="36" customWidth="1"/>
    <col min="6162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4.7109375" style="36" customWidth="1"/>
    <col min="6405" max="6405" width="11.42578125" style="36" customWidth="1"/>
    <col min="6406" max="6406" width="4.7109375" style="36" customWidth="1"/>
    <col min="6407" max="6407" width="8.28515625" style="36" customWidth="1"/>
    <col min="6408" max="6408" width="4.7109375" style="36" customWidth="1"/>
    <col min="6409" max="6409" width="11.42578125" style="36" customWidth="1"/>
    <col min="6410" max="6410" width="4.7109375" style="36" customWidth="1"/>
    <col min="6411" max="6411" width="10.42578125" style="36" customWidth="1"/>
    <col min="6412" max="6412" width="4.7109375" style="36" customWidth="1"/>
    <col min="6413" max="6413" width="11.7109375" style="36" customWidth="1"/>
    <col min="6414" max="6414" width="8.5703125" style="36" customWidth="1"/>
    <col min="6415" max="6416" width="0.42578125" style="36" customWidth="1"/>
    <col min="6417" max="6417" width="9.140625" style="36" customWidth="1"/>
    <col min="6418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4.7109375" style="36" customWidth="1"/>
    <col min="6661" max="6661" width="11.42578125" style="36" customWidth="1"/>
    <col min="6662" max="6662" width="4.7109375" style="36" customWidth="1"/>
    <col min="6663" max="6663" width="8.28515625" style="36" customWidth="1"/>
    <col min="6664" max="6664" width="4.7109375" style="36" customWidth="1"/>
    <col min="6665" max="6665" width="11.42578125" style="36" customWidth="1"/>
    <col min="6666" max="6666" width="4.7109375" style="36" customWidth="1"/>
    <col min="6667" max="6667" width="10.42578125" style="36" customWidth="1"/>
    <col min="6668" max="6668" width="4.7109375" style="36" customWidth="1"/>
    <col min="6669" max="6669" width="11.7109375" style="36" customWidth="1"/>
    <col min="6670" max="6670" width="8.5703125" style="36" customWidth="1"/>
    <col min="6671" max="6672" width="0.42578125" style="36" customWidth="1"/>
    <col min="6673" max="6673" width="9.140625" style="36" customWidth="1"/>
    <col min="6674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4.7109375" style="36" customWidth="1"/>
    <col min="6917" max="6917" width="11.42578125" style="36" customWidth="1"/>
    <col min="6918" max="6918" width="4.7109375" style="36" customWidth="1"/>
    <col min="6919" max="6919" width="8.28515625" style="36" customWidth="1"/>
    <col min="6920" max="6920" width="4.7109375" style="36" customWidth="1"/>
    <col min="6921" max="6921" width="11.42578125" style="36" customWidth="1"/>
    <col min="6922" max="6922" width="4.7109375" style="36" customWidth="1"/>
    <col min="6923" max="6923" width="10.42578125" style="36" customWidth="1"/>
    <col min="6924" max="6924" width="4.7109375" style="36" customWidth="1"/>
    <col min="6925" max="6925" width="11.7109375" style="36" customWidth="1"/>
    <col min="6926" max="6926" width="8.5703125" style="36" customWidth="1"/>
    <col min="6927" max="6928" width="0.42578125" style="36" customWidth="1"/>
    <col min="6929" max="6929" width="9.140625" style="36" customWidth="1"/>
    <col min="6930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4.7109375" style="36" customWidth="1"/>
    <col min="7173" max="7173" width="11.42578125" style="36" customWidth="1"/>
    <col min="7174" max="7174" width="4.7109375" style="36" customWidth="1"/>
    <col min="7175" max="7175" width="8.28515625" style="36" customWidth="1"/>
    <col min="7176" max="7176" width="4.7109375" style="36" customWidth="1"/>
    <col min="7177" max="7177" width="11.42578125" style="36" customWidth="1"/>
    <col min="7178" max="7178" width="4.7109375" style="36" customWidth="1"/>
    <col min="7179" max="7179" width="10.42578125" style="36" customWidth="1"/>
    <col min="7180" max="7180" width="4.7109375" style="36" customWidth="1"/>
    <col min="7181" max="7181" width="11.7109375" style="36" customWidth="1"/>
    <col min="7182" max="7182" width="8.5703125" style="36" customWidth="1"/>
    <col min="7183" max="7184" width="0.42578125" style="36" customWidth="1"/>
    <col min="7185" max="7185" width="9.140625" style="36" customWidth="1"/>
    <col min="7186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4.7109375" style="36" customWidth="1"/>
    <col min="7429" max="7429" width="11.42578125" style="36" customWidth="1"/>
    <col min="7430" max="7430" width="4.7109375" style="36" customWidth="1"/>
    <col min="7431" max="7431" width="8.28515625" style="36" customWidth="1"/>
    <col min="7432" max="7432" width="4.7109375" style="36" customWidth="1"/>
    <col min="7433" max="7433" width="11.42578125" style="36" customWidth="1"/>
    <col min="7434" max="7434" width="4.7109375" style="36" customWidth="1"/>
    <col min="7435" max="7435" width="10.42578125" style="36" customWidth="1"/>
    <col min="7436" max="7436" width="4.7109375" style="36" customWidth="1"/>
    <col min="7437" max="7437" width="11.7109375" style="36" customWidth="1"/>
    <col min="7438" max="7438" width="8.5703125" style="36" customWidth="1"/>
    <col min="7439" max="7440" width="0.42578125" style="36" customWidth="1"/>
    <col min="7441" max="7441" width="9.140625" style="36" customWidth="1"/>
    <col min="7442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4.7109375" style="36" customWidth="1"/>
    <col min="7685" max="7685" width="11.42578125" style="36" customWidth="1"/>
    <col min="7686" max="7686" width="4.7109375" style="36" customWidth="1"/>
    <col min="7687" max="7687" width="8.28515625" style="36" customWidth="1"/>
    <col min="7688" max="7688" width="4.7109375" style="36" customWidth="1"/>
    <col min="7689" max="7689" width="11.42578125" style="36" customWidth="1"/>
    <col min="7690" max="7690" width="4.7109375" style="36" customWidth="1"/>
    <col min="7691" max="7691" width="10.42578125" style="36" customWidth="1"/>
    <col min="7692" max="7692" width="4.7109375" style="36" customWidth="1"/>
    <col min="7693" max="7693" width="11.7109375" style="36" customWidth="1"/>
    <col min="7694" max="7694" width="8.5703125" style="36" customWidth="1"/>
    <col min="7695" max="7696" width="0.42578125" style="36" customWidth="1"/>
    <col min="7697" max="7697" width="9.140625" style="36" customWidth="1"/>
    <col min="7698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4.7109375" style="36" customWidth="1"/>
    <col min="7941" max="7941" width="11.42578125" style="36" customWidth="1"/>
    <col min="7942" max="7942" width="4.7109375" style="36" customWidth="1"/>
    <col min="7943" max="7943" width="8.28515625" style="36" customWidth="1"/>
    <col min="7944" max="7944" width="4.7109375" style="36" customWidth="1"/>
    <col min="7945" max="7945" width="11.42578125" style="36" customWidth="1"/>
    <col min="7946" max="7946" width="4.7109375" style="36" customWidth="1"/>
    <col min="7947" max="7947" width="10.42578125" style="36" customWidth="1"/>
    <col min="7948" max="7948" width="4.7109375" style="36" customWidth="1"/>
    <col min="7949" max="7949" width="11.7109375" style="36" customWidth="1"/>
    <col min="7950" max="7950" width="8.5703125" style="36" customWidth="1"/>
    <col min="7951" max="7952" width="0.42578125" style="36" customWidth="1"/>
    <col min="7953" max="7953" width="9.140625" style="36" customWidth="1"/>
    <col min="7954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4.7109375" style="36" customWidth="1"/>
    <col min="8197" max="8197" width="11.42578125" style="36" customWidth="1"/>
    <col min="8198" max="8198" width="4.7109375" style="36" customWidth="1"/>
    <col min="8199" max="8199" width="8.28515625" style="36" customWidth="1"/>
    <col min="8200" max="8200" width="4.7109375" style="36" customWidth="1"/>
    <col min="8201" max="8201" width="11.42578125" style="36" customWidth="1"/>
    <col min="8202" max="8202" width="4.7109375" style="36" customWidth="1"/>
    <col min="8203" max="8203" width="10.42578125" style="36" customWidth="1"/>
    <col min="8204" max="8204" width="4.7109375" style="36" customWidth="1"/>
    <col min="8205" max="8205" width="11.7109375" style="36" customWidth="1"/>
    <col min="8206" max="8206" width="8.5703125" style="36" customWidth="1"/>
    <col min="8207" max="8208" width="0.42578125" style="36" customWidth="1"/>
    <col min="8209" max="8209" width="9.140625" style="36" customWidth="1"/>
    <col min="8210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4.7109375" style="36" customWidth="1"/>
    <col min="8453" max="8453" width="11.42578125" style="36" customWidth="1"/>
    <col min="8454" max="8454" width="4.7109375" style="36" customWidth="1"/>
    <col min="8455" max="8455" width="8.28515625" style="36" customWidth="1"/>
    <col min="8456" max="8456" width="4.7109375" style="36" customWidth="1"/>
    <col min="8457" max="8457" width="11.42578125" style="36" customWidth="1"/>
    <col min="8458" max="8458" width="4.7109375" style="36" customWidth="1"/>
    <col min="8459" max="8459" width="10.42578125" style="36" customWidth="1"/>
    <col min="8460" max="8460" width="4.7109375" style="36" customWidth="1"/>
    <col min="8461" max="8461" width="11.7109375" style="36" customWidth="1"/>
    <col min="8462" max="8462" width="8.5703125" style="36" customWidth="1"/>
    <col min="8463" max="8464" width="0.42578125" style="36" customWidth="1"/>
    <col min="8465" max="8465" width="9.140625" style="36" customWidth="1"/>
    <col min="8466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4.7109375" style="36" customWidth="1"/>
    <col min="8709" max="8709" width="11.42578125" style="36" customWidth="1"/>
    <col min="8710" max="8710" width="4.7109375" style="36" customWidth="1"/>
    <col min="8711" max="8711" width="8.28515625" style="36" customWidth="1"/>
    <col min="8712" max="8712" width="4.7109375" style="36" customWidth="1"/>
    <col min="8713" max="8713" width="11.42578125" style="36" customWidth="1"/>
    <col min="8714" max="8714" width="4.7109375" style="36" customWidth="1"/>
    <col min="8715" max="8715" width="10.42578125" style="36" customWidth="1"/>
    <col min="8716" max="8716" width="4.7109375" style="36" customWidth="1"/>
    <col min="8717" max="8717" width="11.7109375" style="36" customWidth="1"/>
    <col min="8718" max="8718" width="8.5703125" style="36" customWidth="1"/>
    <col min="8719" max="8720" width="0.42578125" style="36" customWidth="1"/>
    <col min="8721" max="8721" width="9.140625" style="36" customWidth="1"/>
    <col min="8722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4.7109375" style="36" customWidth="1"/>
    <col min="8965" max="8965" width="11.42578125" style="36" customWidth="1"/>
    <col min="8966" max="8966" width="4.7109375" style="36" customWidth="1"/>
    <col min="8967" max="8967" width="8.28515625" style="36" customWidth="1"/>
    <col min="8968" max="8968" width="4.7109375" style="36" customWidth="1"/>
    <col min="8969" max="8969" width="11.42578125" style="36" customWidth="1"/>
    <col min="8970" max="8970" width="4.7109375" style="36" customWidth="1"/>
    <col min="8971" max="8971" width="10.42578125" style="36" customWidth="1"/>
    <col min="8972" max="8972" width="4.7109375" style="36" customWidth="1"/>
    <col min="8973" max="8973" width="11.7109375" style="36" customWidth="1"/>
    <col min="8974" max="8974" width="8.5703125" style="36" customWidth="1"/>
    <col min="8975" max="8976" width="0.42578125" style="36" customWidth="1"/>
    <col min="8977" max="8977" width="9.140625" style="36" customWidth="1"/>
    <col min="8978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4.7109375" style="36" customWidth="1"/>
    <col min="9221" max="9221" width="11.42578125" style="36" customWidth="1"/>
    <col min="9222" max="9222" width="4.7109375" style="36" customWidth="1"/>
    <col min="9223" max="9223" width="8.28515625" style="36" customWidth="1"/>
    <col min="9224" max="9224" width="4.7109375" style="36" customWidth="1"/>
    <col min="9225" max="9225" width="11.42578125" style="36" customWidth="1"/>
    <col min="9226" max="9226" width="4.7109375" style="36" customWidth="1"/>
    <col min="9227" max="9227" width="10.42578125" style="36" customWidth="1"/>
    <col min="9228" max="9228" width="4.7109375" style="36" customWidth="1"/>
    <col min="9229" max="9229" width="11.7109375" style="36" customWidth="1"/>
    <col min="9230" max="9230" width="8.5703125" style="36" customWidth="1"/>
    <col min="9231" max="9232" width="0.42578125" style="36" customWidth="1"/>
    <col min="9233" max="9233" width="9.140625" style="36" customWidth="1"/>
    <col min="9234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4.7109375" style="36" customWidth="1"/>
    <col min="9477" max="9477" width="11.42578125" style="36" customWidth="1"/>
    <col min="9478" max="9478" width="4.7109375" style="36" customWidth="1"/>
    <col min="9479" max="9479" width="8.28515625" style="36" customWidth="1"/>
    <col min="9480" max="9480" width="4.7109375" style="36" customWidth="1"/>
    <col min="9481" max="9481" width="11.42578125" style="36" customWidth="1"/>
    <col min="9482" max="9482" width="4.7109375" style="36" customWidth="1"/>
    <col min="9483" max="9483" width="10.42578125" style="36" customWidth="1"/>
    <col min="9484" max="9484" width="4.7109375" style="36" customWidth="1"/>
    <col min="9485" max="9485" width="11.7109375" style="36" customWidth="1"/>
    <col min="9486" max="9486" width="8.5703125" style="36" customWidth="1"/>
    <col min="9487" max="9488" width="0.42578125" style="36" customWidth="1"/>
    <col min="9489" max="9489" width="9.140625" style="36" customWidth="1"/>
    <col min="9490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4.7109375" style="36" customWidth="1"/>
    <col min="9733" max="9733" width="11.42578125" style="36" customWidth="1"/>
    <col min="9734" max="9734" width="4.7109375" style="36" customWidth="1"/>
    <col min="9735" max="9735" width="8.28515625" style="36" customWidth="1"/>
    <col min="9736" max="9736" width="4.7109375" style="36" customWidth="1"/>
    <col min="9737" max="9737" width="11.42578125" style="36" customWidth="1"/>
    <col min="9738" max="9738" width="4.7109375" style="36" customWidth="1"/>
    <col min="9739" max="9739" width="10.42578125" style="36" customWidth="1"/>
    <col min="9740" max="9740" width="4.7109375" style="36" customWidth="1"/>
    <col min="9741" max="9741" width="11.7109375" style="36" customWidth="1"/>
    <col min="9742" max="9742" width="8.5703125" style="36" customWidth="1"/>
    <col min="9743" max="9744" width="0.42578125" style="36" customWidth="1"/>
    <col min="9745" max="9745" width="9.140625" style="36" customWidth="1"/>
    <col min="9746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4.7109375" style="36" customWidth="1"/>
    <col min="9989" max="9989" width="11.42578125" style="36" customWidth="1"/>
    <col min="9990" max="9990" width="4.7109375" style="36" customWidth="1"/>
    <col min="9991" max="9991" width="8.28515625" style="36" customWidth="1"/>
    <col min="9992" max="9992" width="4.7109375" style="36" customWidth="1"/>
    <col min="9993" max="9993" width="11.42578125" style="36" customWidth="1"/>
    <col min="9994" max="9994" width="4.7109375" style="36" customWidth="1"/>
    <col min="9995" max="9995" width="10.42578125" style="36" customWidth="1"/>
    <col min="9996" max="9996" width="4.7109375" style="36" customWidth="1"/>
    <col min="9997" max="9997" width="11.7109375" style="36" customWidth="1"/>
    <col min="9998" max="9998" width="8.5703125" style="36" customWidth="1"/>
    <col min="9999" max="10000" width="0.42578125" style="36" customWidth="1"/>
    <col min="10001" max="10001" width="9.140625" style="36" customWidth="1"/>
    <col min="10002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4.7109375" style="36" customWidth="1"/>
    <col min="10245" max="10245" width="11.42578125" style="36" customWidth="1"/>
    <col min="10246" max="10246" width="4.7109375" style="36" customWidth="1"/>
    <col min="10247" max="10247" width="8.28515625" style="36" customWidth="1"/>
    <col min="10248" max="10248" width="4.7109375" style="36" customWidth="1"/>
    <col min="10249" max="10249" width="11.42578125" style="36" customWidth="1"/>
    <col min="10250" max="10250" width="4.7109375" style="36" customWidth="1"/>
    <col min="10251" max="10251" width="10.42578125" style="36" customWidth="1"/>
    <col min="10252" max="10252" width="4.7109375" style="36" customWidth="1"/>
    <col min="10253" max="10253" width="11.7109375" style="36" customWidth="1"/>
    <col min="10254" max="10254" width="8.5703125" style="36" customWidth="1"/>
    <col min="10255" max="10256" width="0.42578125" style="36" customWidth="1"/>
    <col min="10257" max="10257" width="9.140625" style="36" customWidth="1"/>
    <col min="10258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4.7109375" style="36" customWidth="1"/>
    <col min="10501" max="10501" width="11.42578125" style="36" customWidth="1"/>
    <col min="10502" max="10502" width="4.7109375" style="36" customWidth="1"/>
    <col min="10503" max="10503" width="8.28515625" style="36" customWidth="1"/>
    <col min="10504" max="10504" width="4.7109375" style="36" customWidth="1"/>
    <col min="10505" max="10505" width="11.42578125" style="36" customWidth="1"/>
    <col min="10506" max="10506" width="4.7109375" style="36" customWidth="1"/>
    <col min="10507" max="10507" width="10.42578125" style="36" customWidth="1"/>
    <col min="10508" max="10508" width="4.7109375" style="36" customWidth="1"/>
    <col min="10509" max="10509" width="11.7109375" style="36" customWidth="1"/>
    <col min="10510" max="10510" width="8.5703125" style="36" customWidth="1"/>
    <col min="10511" max="10512" width="0.42578125" style="36" customWidth="1"/>
    <col min="10513" max="10513" width="9.140625" style="36" customWidth="1"/>
    <col min="10514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4.7109375" style="36" customWidth="1"/>
    <col min="10757" max="10757" width="11.42578125" style="36" customWidth="1"/>
    <col min="10758" max="10758" width="4.7109375" style="36" customWidth="1"/>
    <col min="10759" max="10759" width="8.28515625" style="36" customWidth="1"/>
    <col min="10760" max="10760" width="4.7109375" style="36" customWidth="1"/>
    <col min="10761" max="10761" width="11.42578125" style="36" customWidth="1"/>
    <col min="10762" max="10762" width="4.7109375" style="36" customWidth="1"/>
    <col min="10763" max="10763" width="10.42578125" style="36" customWidth="1"/>
    <col min="10764" max="10764" width="4.7109375" style="36" customWidth="1"/>
    <col min="10765" max="10765" width="11.7109375" style="36" customWidth="1"/>
    <col min="10766" max="10766" width="8.5703125" style="36" customWidth="1"/>
    <col min="10767" max="10768" width="0.42578125" style="36" customWidth="1"/>
    <col min="10769" max="10769" width="9.140625" style="36" customWidth="1"/>
    <col min="10770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4.7109375" style="36" customWidth="1"/>
    <col min="11013" max="11013" width="11.42578125" style="36" customWidth="1"/>
    <col min="11014" max="11014" width="4.7109375" style="36" customWidth="1"/>
    <col min="11015" max="11015" width="8.28515625" style="36" customWidth="1"/>
    <col min="11016" max="11016" width="4.7109375" style="36" customWidth="1"/>
    <col min="11017" max="11017" width="11.42578125" style="36" customWidth="1"/>
    <col min="11018" max="11018" width="4.7109375" style="36" customWidth="1"/>
    <col min="11019" max="11019" width="10.42578125" style="36" customWidth="1"/>
    <col min="11020" max="11020" width="4.7109375" style="36" customWidth="1"/>
    <col min="11021" max="11021" width="11.7109375" style="36" customWidth="1"/>
    <col min="11022" max="11022" width="8.5703125" style="36" customWidth="1"/>
    <col min="11023" max="11024" width="0.42578125" style="36" customWidth="1"/>
    <col min="11025" max="11025" width="9.140625" style="36" customWidth="1"/>
    <col min="11026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4.7109375" style="36" customWidth="1"/>
    <col min="11269" max="11269" width="11.42578125" style="36" customWidth="1"/>
    <col min="11270" max="11270" width="4.7109375" style="36" customWidth="1"/>
    <col min="11271" max="11271" width="8.28515625" style="36" customWidth="1"/>
    <col min="11272" max="11272" width="4.7109375" style="36" customWidth="1"/>
    <col min="11273" max="11273" width="11.42578125" style="36" customWidth="1"/>
    <col min="11274" max="11274" width="4.7109375" style="36" customWidth="1"/>
    <col min="11275" max="11275" width="10.42578125" style="36" customWidth="1"/>
    <col min="11276" max="11276" width="4.7109375" style="36" customWidth="1"/>
    <col min="11277" max="11277" width="11.7109375" style="36" customWidth="1"/>
    <col min="11278" max="11278" width="8.5703125" style="36" customWidth="1"/>
    <col min="11279" max="11280" width="0.42578125" style="36" customWidth="1"/>
    <col min="11281" max="11281" width="9.140625" style="36" customWidth="1"/>
    <col min="11282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4.7109375" style="36" customWidth="1"/>
    <col min="11525" max="11525" width="11.42578125" style="36" customWidth="1"/>
    <col min="11526" max="11526" width="4.7109375" style="36" customWidth="1"/>
    <col min="11527" max="11527" width="8.28515625" style="36" customWidth="1"/>
    <col min="11528" max="11528" width="4.7109375" style="36" customWidth="1"/>
    <col min="11529" max="11529" width="11.42578125" style="36" customWidth="1"/>
    <col min="11530" max="11530" width="4.7109375" style="36" customWidth="1"/>
    <col min="11531" max="11531" width="10.42578125" style="36" customWidth="1"/>
    <col min="11532" max="11532" width="4.7109375" style="36" customWidth="1"/>
    <col min="11533" max="11533" width="11.7109375" style="36" customWidth="1"/>
    <col min="11534" max="11534" width="8.5703125" style="36" customWidth="1"/>
    <col min="11535" max="11536" width="0.42578125" style="36" customWidth="1"/>
    <col min="11537" max="11537" width="9.140625" style="36" customWidth="1"/>
    <col min="11538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4.7109375" style="36" customWidth="1"/>
    <col min="11781" max="11781" width="11.42578125" style="36" customWidth="1"/>
    <col min="11782" max="11782" width="4.7109375" style="36" customWidth="1"/>
    <col min="11783" max="11783" width="8.28515625" style="36" customWidth="1"/>
    <col min="11784" max="11784" width="4.7109375" style="36" customWidth="1"/>
    <col min="11785" max="11785" width="11.42578125" style="36" customWidth="1"/>
    <col min="11786" max="11786" width="4.7109375" style="36" customWidth="1"/>
    <col min="11787" max="11787" width="10.42578125" style="36" customWidth="1"/>
    <col min="11788" max="11788" width="4.7109375" style="36" customWidth="1"/>
    <col min="11789" max="11789" width="11.7109375" style="36" customWidth="1"/>
    <col min="11790" max="11790" width="8.5703125" style="36" customWidth="1"/>
    <col min="11791" max="11792" width="0.42578125" style="36" customWidth="1"/>
    <col min="11793" max="11793" width="9.140625" style="36" customWidth="1"/>
    <col min="11794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4.7109375" style="36" customWidth="1"/>
    <col min="12037" max="12037" width="11.42578125" style="36" customWidth="1"/>
    <col min="12038" max="12038" width="4.7109375" style="36" customWidth="1"/>
    <col min="12039" max="12039" width="8.28515625" style="36" customWidth="1"/>
    <col min="12040" max="12040" width="4.7109375" style="36" customWidth="1"/>
    <col min="12041" max="12041" width="11.42578125" style="36" customWidth="1"/>
    <col min="12042" max="12042" width="4.7109375" style="36" customWidth="1"/>
    <col min="12043" max="12043" width="10.42578125" style="36" customWidth="1"/>
    <col min="12044" max="12044" width="4.7109375" style="36" customWidth="1"/>
    <col min="12045" max="12045" width="11.7109375" style="36" customWidth="1"/>
    <col min="12046" max="12046" width="8.5703125" style="36" customWidth="1"/>
    <col min="12047" max="12048" width="0.42578125" style="36" customWidth="1"/>
    <col min="12049" max="12049" width="9.140625" style="36" customWidth="1"/>
    <col min="12050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4.7109375" style="36" customWidth="1"/>
    <col min="12293" max="12293" width="11.42578125" style="36" customWidth="1"/>
    <col min="12294" max="12294" width="4.7109375" style="36" customWidth="1"/>
    <col min="12295" max="12295" width="8.28515625" style="36" customWidth="1"/>
    <col min="12296" max="12296" width="4.7109375" style="36" customWidth="1"/>
    <col min="12297" max="12297" width="11.42578125" style="36" customWidth="1"/>
    <col min="12298" max="12298" width="4.7109375" style="36" customWidth="1"/>
    <col min="12299" max="12299" width="10.42578125" style="36" customWidth="1"/>
    <col min="12300" max="12300" width="4.7109375" style="36" customWidth="1"/>
    <col min="12301" max="12301" width="11.7109375" style="36" customWidth="1"/>
    <col min="12302" max="12302" width="8.5703125" style="36" customWidth="1"/>
    <col min="12303" max="12304" width="0.42578125" style="36" customWidth="1"/>
    <col min="12305" max="12305" width="9.140625" style="36" customWidth="1"/>
    <col min="12306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4.7109375" style="36" customWidth="1"/>
    <col min="12549" max="12549" width="11.42578125" style="36" customWidth="1"/>
    <col min="12550" max="12550" width="4.7109375" style="36" customWidth="1"/>
    <col min="12551" max="12551" width="8.28515625" style="36" customWidth="1"/>
    <col min="12552" max="12552" width="4.7109375" style="36" customWidth="1"/>
    <col min="12553" max="12553" width="11.42578125" style="36" customWidth="1"/>
    <col min="12554" max="12554" width="4.7109375" style="36" customWidth="1"/>
    <col min="12555" max="12555" width="10.42578125" style="36" customWidth="1"/>
    <col min="12556" max="12556" width="4.7109375" style="36" customWidth="1"/>
    <col min="12557" max="12557" width="11.7109375" style="36" customWidth="1"/>
    <col min="12558" max="12558" width="8.5703125" style="36" customWidth="1"/>
    <col min="12559" max="12560" width="0.42578125" style="36" customWidth="1"/>
    <col min="12561" max="12561" width="9.140625" style="36" customWidth="1"/>
    <col min="12562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4.7109375" style="36" customWidth="1"/>
    <col min="12805" max="12805" width="11.42578125" style="36" customWidth="1"/>
    <col min="12806" max="12806" width="4.7109375" style="36" customWidth="1"/>
    <col min="12807" max="12807" width="8.28515625" style="36" customWidth="1"/>
    <col min="12808" max="12808" width="4.7109375" style="36" customWidth="1"/>
    <col min="12809" max="12809" width="11.42578125" style="36" customWidth="1"/>
    <col min="12810" max="12810" width="4.7109375" style="36" customWidth="1"/>
    <col min="12811" max="12811" width="10.42578125" style="36" customWidth="1"/>
    <col min="12812" max="12812" width="4.7109375" style="36" customWidth="1"/>
    <col min="12813" max="12813" width="11.7109375" style="36" customWidth="1"/>
    <col min="12814" max="12814" width="8.5703125" style="36" customWidth="1"/>
    <col min="12815" max="12816" width="0.42578125" style="36" customWidth="1"/>
    <col min="12817" max="12817" width="9.140625" style="36" customWidth="1"/>
    <col min="12818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4.7109375" style="36" customWidth="1"/>
    <col min="13061" max="13061" width="11.42578125" style="36" customWidth="1"/>
    <col min="13062" max="13062" width="4.7109375" style="36" customWidth="1"/>
    <col min="13063" max="13063" width="8.28515625" style="36" customWidth="1"/>
    <col min="13064" max="13064" width="4.7109375" style="36" customWidth="1"/>
    <col min="13065" max="13065" width="11.42578125" style="36" customWidth="1"/>
    <col min="13066" max="13066" width="4.7109375" style="36" customWidth="1"/>
    <col min="13067" max="13067" width="10.42578125" style="36" customWidth="1"/>
    <col min="13068" max="13068" width="4.7109375" style="36" customWidth="1"/>
    <col min="13069" max="13069" width="11.7109375" style="36" customWidth="1"/>
    <col min="13070" max="13070" width="8.5703125" style="36" customWidth="1"/>
    <col min="13071" max="13072" width="0.42578125" style="36" customWidth="1"/>
    <col min="13073" max="13073" width="9.140625" style="36" customWidth="1"/>
    <col min="13074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4.7109375" style="36" customWidth="1"/>
    <col min="13317" max="13317" width="11.42578125" style="36" customWidth="1"/>
    <col min="13318" max="13318" width="4.7109375" style="36" customWidth="1"/>
    <col min="13319" max="13319" width="8.28515625" style="36" customWidth="1"/>
    <col min="13320" max="13320" width="4.7109375" style="36" customWidth="1"/>
    <col min="13321" max="13321" width="11.42578125" style="36" customWidth="1"/>
    <col min="13322" max="13322" width="4.7109375" style="36" customWidth="1"/>
    <col min="13323" max="13323" width="10.42578125" style="36" customWidth="1"/>
    <col min="13324" max="13324" width="4.7109375" style="36" customWidth="1"/>
    <col min="13325" max="13325" width="11.7109375" style="36" customWidth="1"/>
    <col min="13326" max="13326" width="8.5703125" style="36" customWidth="1"/>
    <col min="13327" max="13328" width="0.42578125" style="36" customWidth="1"/>
    <col min="13329" max="13329" width="9.140625" style="36" customWidth="1"/>
    <col min="13330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4.7109375" style="36" customWidth="1"/>
    <col min="13573" max="13573" width="11.42578125" style="36" customWidth="1"/>
    <col min="13574" max="13574" width="4.7109375" style="36" customWidth="1"/>
    <col min="13575" max="13575" width="8.28515625" style="36" customWidth="1"/>
    <col min="13576" max="13576" width="4.7109375" style="36" customWidth="1"/>
    <col min="13577" max="13577" width="11.42578125" style="36" customWidth="1"/>
    <col min="13578" max="13578" width="4.7109375" style="36" customWidth="1"/>
    <col min="13579" max="13579" width="10.42578125" style="36" customWidth="1"/>
    <col min="13580" max="13580" width="4.7109375" style="36" customWidth="1"/>
    <col min="13581" max="13581" width="11.7109375" style="36" customWidth="1"/>
    <col min="13582" max="13582" width="8.5703125" style="36" customWidth="1"/>
    <col min="13583" max="13584" width="0.42578125" style="36" customWidth="1"/>
    <col min="13585" max="13585" width="9.140625" style="36" customWidth="1"/>
    <col min="13586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4.7109375" style="36" customWidth="1"/>
    <col min="13829" max="13829" width="11.42578125" style="36" customWidth="1"/>
    <col min="13830" max="13830" width="4.7109375" style="36" customWidth="1"/>
    <col min="13831" max="13831" width="8.28515625" style="36" customWidth="1"/>
    <col min="13832" max="13832" width="4.7109375" style="36" customWidth="1"/>
    <col min="13833" max="13833" width="11.42578125" style="36" customWidth="1"/>
    <col min="13834" max="13834" width="4.7109375" style="36" customWidth="1"/>
    <col min="13835" max="13835" width="10.42578125" style="36" customWidth="1"/>
    <col min="13836" max="13836" width="4.7109375" style="36" customWidth="1"/>
    <col min="13837" max="13837" width="11.7109375" style="36" customWidth="1"/>
    <col min="13838" max="13838" width="8.5703125" style="36" customWidth="1"/>
    <col min="13839" max="13840" width="0.42578125" style="36" customWidth="1"/>
    <col min="13841" max="13841" width="9.140625" style="36" customWidth="1"/>
    <col min="13842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4.7109375" style="36" customWidth="1"/>
    <col min="14085" max="14085" width="11.42578125" style="36" customWidth="1"/>
    <col min="14086" max="14086" width="4.7109375" style="36" customWidth="1"/>
    <col min="14087" max="14087" width="8.28515625" style="36" customWidth="1"/>
    <col min="14088" max="14088" width="4.7109375" style="36" customWidth="1"/>
    <col min="14089" max="14089" width="11.42578125" style="36" customWidth="1"/>
    <col min="14090" max="14090" width="4.7109375" style="36" customWidth="1"/>
    <col min="14091" max="14091" width="10.42578125" style="36" customWidth="1"/>
    <col min="14092" max="14092" width="4.7109375" style="36" customWidth="1"/>
    <col min="14093" max="14093" width="11.7109375" style="36" customWidth="1"/>
    <col min="14094" max="14094" width="8.5703125" style="36" customWidth="1"/>
    <col min="14095" max="14096" width="0.42578125" style="36" customWidth="1"/>
    <col min="14097" max="14097" width="9.140625" style="36" customWidth="1"/>
    <col min="14098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4.7109375" style="36" customWidth="1"/>
    <col min="14341" max="14341" width="11.42578125" style="36" customWidth="1"/>
    <col min="14342" max="14342" width="4.7109375" style="36" customWidth="1"/>
    <col min="14343" max="14343" width="8.28515625" style="36" customWidth="1"/>
    <col min="14344" max="14344" width="4.7109375" style="36" customWidth="1"/>
    <col min="14345" max="14345" width="11.42578125" style="36" customWidth="1"/>
    <col min="14346" max="14346" width="4.7109375" style="36" customWidth="1"/>
    <col min="14347" max="14347" width="10.42578125" style="36" customWidth="1"/>
    <col min="14348" max="14348" width="4.7109375" style="36" customWidth="1"/>
    <col min="14349" max="14349" width="11.7109375" style="36" customWidth="1"/>
    <col min="14350" max="14350" width="8.5703125" style="36" customWidth="1"/>
    <col min="14351" max="14352" width="0.42578125" style="36" customWidth="1"/>
    <col min="14353" max="14353" width="9.140625" style="36" customWidth="1"/>
    <col min="14354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4.7109375" style="36" customWidth="1"/>
    <col min="14597" max="14597" width="11.42578125" style="36" customWidth="1"/>
    <col min="14598" max="14598" width="4.7109375" style="36" customWidth="1"/>
    <col min="14599" max="14599" width="8.28515625" style="36" customWidth="1"/>
    <col min="14600" max="14600" width="4.7109375" style="36" customWidth="1"/>
    <col min="14601" max="14601" width="11.42578125" style="36" customWidth="1"/>
    <col min="14602" max="14602" width="4.7109375" style="36" customWidth="1"/>
    <col min="14603" max="14603" width="10.42578125" style="36" customWidth="1"/>
    <col min="14604" max="14604" width="4.7109375" style="36" customWidth="1"/>
    <col min="14605" max="14605" width="11.7109375" style="36" customWidth="1"/>
    <col min="14606" max="14606" width="8.5703125" style="36" customWidth="1"/>
    <col min="14607" max="14608" width="0.42578125" style="36" customWidth="1"/>
    <col min="14609" max="14609" width="9.140625" style="36" customWidth="1"/>
    <col min="14610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4.7109375" style="36" customWidth="1"/>
    <col min="14853" max="14853" width="11.42578125" style="36" customWidth="1"/>
    <col min="14854" max="14854" width="4.7109375" style="36" customWidth="1"/>
    <col min="14855" max="14855" width="8.28515625" style="36" customWidth="1"/>
    <col min="14856" max="14856" width="4.7109375" style="36" customWidth="1"/>
    <col min="14857" max="14857" width="11.42578125" style="36" customWidth="1"/>
    <col min="14858" max="14858" width="4.7109375" style="36" customWidth="1"/>
    <col min="14859" max="14859" width="10.42578125" style="36" customWidth="1"/>
    <col min="14860" max="14860" width="4.7109375" style="36" customWidth="1"/>
    <col min="14861" max="14861" width="11.7109375" style="36" customWidth="1"/>
    <col min="14862" max="14862" width="8.5703125" style="36" customWidth="1"/>
    <col min="14863" max="14864" width="0.42578125" style="36" customWidth="1"/>
    <col min="14865" max="14865" width="9.140625" style="36" customWidth="1"/>
    <col min="14866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4.7109375" style="36" customWidth="1"/>
    <col min="15109" max="15109" width="11.42578125" style="36" customWidth="1"/>
    <col min="15110" max="15110" width="4.7109375" style="36" customWidth="1"/>
    <col min="15111" max="15111" width="8.28515625" style="36" customWidth="1"/>
    <col min="15112" max="15112" width="4.7109375" style="36" customWidth="1"/>
    <col min="15113" max="15113" width="11.42578125" style="36" customWidth="1"/>
    <col min="15114" max="15114" width="4.7109375" style="36" customWidth="1"/>
    <col min="15115" max="15115" width="10.42578125" style="36" customWidth="1"/>
    <col min="15116" max="15116" width="4.7109375" style="36" customWidth="1"/>
    <col min="15117" max="15117" width="11.7109375" style="36" customWidth="1"/>
    <col min="15118" max="15118" width="8.5703125" style="36" customWidth="1"/>
    <col min="15119" max="15120" width="0.42578125" style="36" customWidth="1"/>
    <col min="15121" max="15121" width="9.140625" style="36" customWidth="1"/>
    <col min="15122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4.7109375" style="36" customWidth="1"/>
    <col min="15365" max="15365" width="11.42578125" style="36" customWidth="1"/>
    <col min="15366" max="15366" width="4.7109375" style="36" customWidth="1"/>
    <col min="15367" max="15367" width="8.28515625" style="36" customWidth="1"/>
    <col min="15368" max="15368" width="4.7109375" style="36" customWidth="1"/>
    <col min="15369" max="15369" width="11.42578125" style="36" customWidth="1"/>
    <col min="15370" max="15370" width="4.7109375" style="36" customWidth="1"/>
    <col min="15371" max="15371" width="10.42578125" style="36" customWidth="1"/>
    <col min="15372" max="15372" width="4.7109375" style="36" customWidth="1"/>
    <col min="15373" max="15373" width="11.7109375" style="36" customWidth="1"/>
    <col min="15374" max="15374" width="8.5703125" style="36" customWidth="1"/>
    <col min="15375" max="15376" width="0.42578125" style="36" customWidth="1"/>
    <col min="15377" max="15377" width="9.140625" style="36" customWidth="1"/>
    <col min="15378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4.7109375" style="36" customWidth="1"/>
    <col min="15621" max="15621" width="11.42578125" style="36" customWidth="1"/>
    <col min="15622" max="15622" width="4.7109375" style="36" customWidth="1"/>
    <col min="15623" max="15623" width="8.28515625" style="36" customWidth="1"/>
    <col min="15624" max="15624" width="4.7109375" style="36" customWidth="1"/>
    <col min="15625" max="15625" width="11.42578125" style="36" customWidth="1"/>
    <col min="15626" max="15626" width="4.7109375" style="36" customWidth="1"/>
    <col min="15627" max="15627" width="10.42578125" style="36" customWidth="1"/>
    <col min="15628" max="15628" width="4.7109375" style="36" customWidth="1"/>
    <col min="15629" max="15629" width="11.7109375" style="36" customWidth="1"/>
    <col min="15630" max="15630" width="8.5703125" style="36" customWidth="1"/>
    <col min="15631" max="15632" width="0.42578125" style="36" customWidth="1"/>
    <col min="15633" max="15633" width="9.140625" style="36" customWidth="1"/>
    <col min="15634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4.7109375" style="36" customWidth="1"/>
    <col min="15877" max="15877" width="11.42578125" style="36" customWidth="1"/>
    <col min="15878" max="15878" width="4.7109375" style="36" customWidth="1"/>
    <col min="15879" max="15879" width="8.28515625" style="36" customWidth="1"/>
    <col min="15880" max="15880" width="4.7109375" style="36" customWidth="1"/>
    <col min="15881" max="15881" width="11.42578125" style="36" customWidth="1"/>
    <col min="15882" max="15882" width="4.7109375" style="36" customWidth="1"/>
    <col min="15883" max="15883" width="10.42578125" style="36" customWidth="1"/>
    <col min="15884" max="15884" width="4.7109375" style="36" customWidth="1"/>
    <col min="15885" max="15885" width="11.7109375" style="36" customWidth="1"/>
    <col min="15886" max="15886" width="8.5703125" style="36" customWidth="1"/>
    <col min="15887" max="15888" width="0.42578125" style="36" customWidth="1"/>
    <col min="15889" max="15889" width="9.140625" style="36" customWidth="1"/>
    <col min="15890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4.7109375" style="36" customWidth="1"/>
    <col min="16133" max="16133" width="11.42578125" style="36" customWidth="1"/>
    <col min="16134" max="16134" width="4.7109375" style="36" customWidth="1"/>
    <col min="16135" max="16135" width="8.28515625" style="36" customWidth="1"/>
    <col min="16136" max="16136" width="4.7109375" style="36" customWidth="1"/>
    <col min="16137" max="16137" width="11.42578125" style="36" customWidth="1"/>
    <col min="16138" max="16138" width="4.7109375" style="36" customWidth="1"/>
    <col min="16139" max="16139" width="10.42578125" style="36" customWidth="1"/>
    <col min="16140" max="16140" width="4.7109375" style="36" customWidth="1"/>
    <col min="16141" max="16141" width="11.7109375" style="36" customWidth="1"/>
    <col min="16142" max="16142" width="8.5703125" style="36" customWidth="1"/>
    <col min="16143" max="16144" width="0.42578125" style="36" customWidth="1"/>
    <col min="16145" max="16145" width="9.140625" style="36" customWidth="1"/>
    <col min="16146" max="16384" width="13.28515625" style="36"/>
  </cols>
  <sheetData>
    <row r="1" spans="3:15" ht="2.1" customHeight="1" x14ac:dyDescent="0.2">
      <c r="O1" s="36" t="s">
        <v>46</v>
      </c>
    </row>
    <row r="2" spans="3:15" ht="19.899999999999999" customHeight="1" x14ac:dyDescent="0.2"/>
    <row r="3" spans="3:15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3:15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3:15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  <c r="L5" s="38"/>
      <c r="M5" s="38"/>
    </row>
    <row r="6" spans="3:15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3:15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3:15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59"/>
      <c r="L8" s="59"/>
      <c r="M8" s="39"/>
    </row>
    <row r="9" spans="3:15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3:15" ht="21.6" customHeight="1" x14ac:dyDescent="0.3">
      <c r="C10" s="40" t="s">
        <v>117</v>
      </c>
      <c r="D10" s="40"/>
      <c r="E10" s="40"/>
      <c r="F10" s="40"/>
      <c r="G10" s="40"/>
      <c r="H10" s="40"/>
      <c r="I10" s="40"/>
      <c r="J10" s="40"/>
      <c r="K10" s="40"/>
      <c r="L10" s="40"/>
      <c r="M10" s="41"/>
    </row>
    <row r="11" spans="3:15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3:15" ht="1.35" customHeight="1" x14ac:dyDescent="0.2"/>
    <row r="13" spans="3:15" ht="12.75" customHeight="1" x14ac:dyDescent="0.2"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3:15" ht="23.25" customHeight="1" x14ac:dyDescent="0.2">
      <c r="C14" s="61" t="s">
        <v>89</v>
      </c>
      <c r="D14" s="61"/>
      <c r="E14" s="61" t="s">
        <v>118</v>
      </c>
      <c r="F14" s="61"/>
      <c r="G14" s="61" t="s">
        <v>93</v>
      </c>
      <c r="H14" s="61"/>
      <c r="I14" s="61" t="s">
        <v>119</v>
      </c>
      <c r="J14" s="61"/>
      <c r="K14" s="61" t="s">
        <v>120</v>
      </c>
      <c r="L14" s="61"/>
      <c r="M14" s="61" t="s">
        <v>121</v>
      </c>
    </row>
    <row r="15" spans="3:15" ht="1.35" customHeight="1" x14ac:dyDescent="0.2"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</row>
    <row r="16" spans="3:15" ht="1.1499999999999999" customHeight="1" x14ac:dyDescent="0.2">
      <c r="C16" s="62"/>
      <c r="D16" s="63"/>
      <c r="E16" s="63"/>
      <c r="F16" s="63"/>
      <c r="G16" s="63"/>
      <c r="H16" s="63"/>
      <c r="I16" s="63"/>
      <c r="J16" s="63"/>
      <c r="K16" s="63"/>
      <c r="L16" s="63"/>
      <c r="M16" s="62"/>
    </row>
    <row r="17" spans="3:13" ht="10.9" customHeight="1" x14ac:dyDescent="0.2">
      <c r="C17" s="64">
        <v>40450</v>
      </c>
      <c r="D17" s="65"/>
      <c r="E17" s="66">
        <v>0</v>
      </c>
      <c r="F17" s="66"/>
      <c r="G17" s="67">
        <v>0</v>
      </c>
      <c r="H17" s="67"/>
      <c r="I17" s="66">
        <v>0</v>
      </c>
      <c r="J17" s="66"/>
      <c r="K17" s="83">
        <v>0</v>
      </c>
      <c r="L17" s="83"/>
      <c r="M17" s="68">
        <v>0</v>
      </c>
    </row>
    <row r="18" spans="3:13" ht="10.9" customHeight="1" x14ac:dyDescent="0.2">
      <c r="C18" s="64">
        <v>41306</v>
      </c>
      <c r="D18" s="65"/>
      <c r="E18" s="66">
        <v>60000</v>
      </c>
      <c r="F18" s="66"/>
      <c r="G18" s="67">
        <v>100</v>
      </c>
      <c r="H18" s="67"/>
      <c r="I18" s="66">
        <v>60000</v>
      </c>
      <c r="J18" s="66"/>
      <c r="K18" s="83">
        <v>2.3388888888889001</v>
      </c>
      <c r="L18" s="83"/>
      <c r="M18" s="68">
        <v>140333.3333333334</v>
      </c>
    </row>
    <row r="19" spans="3:13" ht="10.9" customHeight="1" x14ac:dyDescent="0.2">
      <c r="C19" s="64">
        <v>41671</v>
      </c>
      <c r="D19" s="65"/>
      <c r="E19" s="66">
        <v>60000</v>
      </c>
      <c r="F19" s="66"/>
      <c r="G19" s="67">
        <v>100</v>
      </c>
      <c r="H19" s="67"/>
      <c r="I19" s="66">
        <v>60000</v>
      </c>
      <c r="J19" s="66"/>
      <c r="K19" s="83">
        <v>3.3388888888889001</v>
      </c>
      <c r="L19" s="83"/>
      <c r="M19" s="68">
        <v>200333.3333333334</v>
      </c>
    </row>
    <row r="20" spans="3:13" ht="10.9" customHeight="1" x14ac:dyDescent="0.2">
      <c r="C20" s="64">
        <v>42036</v>
      </c>
      <c r="D20" s="65"/>
      <c r="E20" s="66">
        <v>60000</v>
      </c>
      <c r="F20" s="66"/>
      <c r="G20" s="67">
        <v>100</v>
      </c>
      <c r="H20" s="67"/>
      <c r="I20" s="66">
        <v>60000</v>
      </c>
      <c r="J20" s="66"/>
      <c r="K20" s="83">
        <v>4.3388888888889001</v>
      </c>
      <c r="L20" s="83"/>
      <c r="M20" s="68">
        <v>260333.33333333331</v>
      </c>
    </row>
    <row r="21" spans="3:13" ht="10.9" customHeight="1" x14ac:dyDescent="0.2">
      <c r="C21" s="64">
        <v>42401</v>
      </c>
      <c r="D21" s="64"/>
      <c r="E21" s="68">
        <v>60000</v>
      </c>
      <c r="F21" s="68"/>
      <c r="G21" s="69">
        <v>100</v>
      </c>
      <c r="H21" s="69"/>
      <c r="I21" s="68">
        <v>60000</v>
      </c>
      <c r="J21" s="68"/>
      <c r="K21" s="84">
        <v>5.3388888888889001</v>
      </c>
      <c r="L21" s="84"/>
      <c r="M21" s="68">
        <v>320333.33333333331</v>
      </c>
    </row>
    <row r="22" spans="3:13" ht="10.9" customHeight="1" x14ac:dyDescent="0.2">
      <c r="C22" s="64">
        <v>42767</v>
      </c>
      <c r="D22" s="65"/>
      <c r="E22" s="66">
        <v>60000</v>
      </c>
      <c r="F22" s="66"/>
      <c r="G22" s="67">
        <v>100</v>
      </c>
      <c r="H22" s="67"/>
      <c r="I22" s="66">
        <v>60000</v>
      </c>
      <c r="J22" s="66"/>
      <c r="K22" s="83">
        <v>6.3388888888889001</v>
      </c>
      <c r="L22" s="83"/>
      <c r="M22" s="68">
        <v>380333.33333333331</v>
      </c>
    </row>
    <row r="23" spans="3:13" ht="10.9" customHeight="1" x14ac:dyDescent="0.2">
      <c r="C23" s="64">
        <v>43132</v>
      </c>
      <c r="D23" s="65"/>
      <c r="E23" s="66">
        <v>60000</v>
      </c>
      <c r="F23" s="66"/>
      <c r="G23" s="67">
        <v>100</v>
      </c>
      <c r="H23" s="67"/>
      <c r="I23" s="66">
        <v>60000</v>
      </c>
      <c r="J23" s="66"/>
      <c r="K23" s="83">
        <v>7.3388888888889001</v>
      </c>
      <c r="L23" s="83"/>
      <c r="M23" s="68">
        <v>440333.33333333331</v>
      </c>
    </row>
    <row r="24" spans="3:13" ht="10.9" customHeight="1" x14ac:dyDescent="0.2">
      <c r="C24" s="64">
        <v>43497</v>
      </c>
      <c r="D24" s="65"/>
      <c r="E24" s="66">
        <v>60000</v>
      </c>
      <c r="F24" s="66"/>
      <c r="G24" s="67">
        <v>100</v>
      </c>
      <c r="H24" s="67"/>
      <c r="I24" s="66">
        <v>60000</v>
      </c>
      <c r="J24" s="66"/>
      <c r="K24" s="83">
        <v>8.3388888888888992</v>
      </c>
      <c r="L24" s="83"/>
      <c r="M24" s="68">
        <v>500333.33333333331</v>
      </c>
    </row>
    <row r="25" spans="3:13" ht="10.9" customHeight="1" x14ac:dyDescent="0.2">
      <c r="C25" s="64">
        <v>43862</v>
      </c>
      <c r="D25" s="65"/>
      <c r="E25" s="66">
        <v>60000</v>
      </c>
      <c r="F25" s="66"/>
      <c r="G25" s="67">
        <v>100</v>
      </c>
      <c r="H25" s="67"/>
      <c r="I25" s="66">
        <v>60000</v>
      </c>
      <c r="J25" s="66"/>
      <c r="K25" s="83">
        <v>9.3388888888888992</v>
      </c>
      <c r="L25" s="83"/>
      <c r="M25" s="68">
        <v>560333.33333333337</v>
      </c>
    </row>
    <row r="26" spans="3:13" ht="10.9" customHeight="1" x14ac:dyDescent="0.2">
      <c r="C26" s="64">
        <v>44228</v>
      </c>
      <c r="D26" s="64"/>
      <c r="E26" s="68">
        <v>60000</v>
      </c>
      <c r="F26" s="68"/>
      <c r="G26" s="69">
        <v>100</v>
      </c>
      <c r="H26" s="69"/>
      <c r="I26" s="68">
        <v>60000</v>
      </c>
      <c r="J26" s="68"/>
      <c r="K26" s="84">
        <v>10.338888888888899</v>
      </c>
      <c r="L26" s="84"/>
      <c r="M26" s="68">
        <v>620333.33333333337</v>
      </c>
    </row>
    <row r="27" spans="3:13" ht="10.9" customHeight="1" x14ac:dyDescent="0.2">
      <c r="C27" s="64">
        <v>44593</v>
      </c>
      <c r="D27" s="65"/>
      <c r="E27" s="66">
        <v>55000</v>
      </c>
      <c r="F27" s="66"/>
      <c r="G27" s="67">
        <v>100</v>
      </c>
      <c r="H27" s="67"/>
      <c r="I27" s="66">
        <v>55000</v>
      </c>
      <c r="J27" s="66"/>
      <c r="K27" s="83">
        <v>11.338888888888899</v>
      </c>
      <c r="L27" s="83"/>
      <c r="M27" s="68">
        <v>623638.88888888888</v>
      </c>
    </row>
    <row r="28" spans="3:13" ht="10.9" customHeight="1" x14ac:dyDescent="0.2">
      <c r="C28" s="64">
        <v>44958</v>
      </c>
      <c r="D28" s="65"/>
      <c r="E28" s="66">
        <v>55000</v>
      </c>
      <c r="F28" s="66"/>
      <c r="G28" s="67">
        <v>100</v>
      </c>
      <c r="H28" s="67"/>
      <c r="I28" s="66">
        <v>55000</v>
      </c>
      <c r="J28" s="66"/>
      <c r="K28" s="83">
        <v>12.338888888888899</v>
      </c>
      <c r="L28" s="83"/>
      <c r="M28" s="68">
        <v>678638.88888888888</v>
      </c>
    </row>
    <row r="29" spans="3:13" ht="10.9" customHeight="1" x14ac:dyDescent="0.2">
      <c r="C29" s="64">
        <v>45323</v>
      </c>
      <c r="D29" s="65"/>
      <c r="E29" s="66">
        <v>55000</v>
      </c>
      <c r="F29" s="66"/>
      <c r="G29" s="67">
        <v>100</v>
      </c>
      <c r="H29" s="67"/>
      <c r="I29" s="66">
        <v>55000</v>
      </c>
      <c r="J29" s="66"/>
      <c r="K29" s="83">
        <v>13.338888888888899</v>
      </c>
      <c r="L29" s="83"/>
      <c r="M29" s="68">
        <v>733638.88888888899</v>
      </c>
    </row>
    <row r="30" spans="3:13" ht="10.9" customHeight="1" x14ac:dyDescent="0.2">
      <c r="C30" s="64">
        <v>45689</v>
      </c>
      <c r="D30" s="65"/>
      <c r="E30" s="66">
        <v>55000</v>
      </c>
      <c r="F30" s="66"/>
      <c r="G30" s="67">
        <v>100</v>
      </c>
      <c r="H30" s="67"/>
      <c r="I30" s="66">
        <v>55000</v>
      </c>
      <c r="J30" s="66"/>
      <c r="K30" s="83">
        <v>14.338888888888899</v>
      </c>
      <c r="L30" s="83"/>
      <c r="M30" s="68">
        <v>788638.88888888899</v>
      </c>
    </row>
    <row r="31" spans="3:13" ht="10.9" customHeight="1" x14ac:dyDescent="0.2">
      <c r="C31" s="64">
        <v>46054</v>
      </c>
      <c r="D31" s="64"/>
      <c r="E31" s="68">
        <v>55000</v>
      </c>
      <c r="F31" s="68"/>
      <c r="G31" s="69">
        <v>100</v>
      </c>
      <c r="H31" s="69"/>
      <c r="I31" s="68">
        <v>55000</v>
      </c>
      <c r="J31" s="68"/>
      <c r="K31" s="84">
        <v>15.338888888888899</v>
      </c>
      <c r="L31" s="84"/>
      <c r="M31" s="68">
        <v>843638.88888888899</v>
      </c>
    </row>
    <row r="32" spans="3:13" ht="10.9" customHeight="1" x14ac:dyDescent="0.2">
      <c r="C32" s="64">
        <v>46419</v>
      </c>
      <c r="D32" s="65"/>
      <c r="E32" s="66">
        <v>60000</v>
      </c>
      <c r="F32" s="66"/>
      <c r="G32" s="67">
        <v>100</v>
      </c>
      <c r="H32" s="67"/>
      <c r="I32" s="66">
        <v>60000</v>
      </c>
      <c r="J32" s="66"/>
      <c r="K32" s="83">
        <v>16.338888888888899</v>
      </c>
      <c r="L32" s="83"/>
      <c r="M32" s="68">
        <v>980333.33333333395</v>
      </c>
    </row>
    <row r="33" spans="3:13" ht="10.9" customHeight="1" x14ac:dyDescent="0.2">
      <c r="C33" s="64">
        <v>46784</v>
      </c>
      <c r="D33" s="65"/>
      <c r="E33" s="66">
        <v>60000</v>
      </c>
      <c r="F33" s="66"/>
      <c r="G33" s="67">
        <v>100</v>
      </c>
      <c r="H33" s="67"/>
      <c r="I33" s="66">
        <v>60000</v>
      </c>
      <c r="J33" s="66"/>
      <c r="K33" s="83">
        <v>17.338888888888899</v>
      </c>
      <c r="L33" s="83"/>
      <c r="M33" s="68">
        <v>1040333.333333334</v>
      </c>
    </row>
    <row r="34" spans="3:13" ht="10.9" customHeight="1" x14ac:dyDescent="0.2">
      <c r="C34" s="64">
        <v>47150</v>
      </c>
      <c r="D34" s="65"/>
      <c r="E34" s="66">
        <v>60000</v>
      </c>
      <c r="F34" s="66"/>
      <c r="G34" s="67">
        <v>100</v>
      </c>
      <c r="H34" s="67"/>
      <c r="I34" s="66">
        <v>60000</v>
      </c>
      <c r="J34" s="66"/>
      <c r="K34" s="83">
        <v>18.338888888888899</v>
      </c>
      <c r="L34" s="83"/>
      <c r="M34" s="68">
        <v>1100333.333333333</v>
      </c>
    </row>
    <row r="35" spans="3:13" ht="10.9" customHeight="1" x14ac:dyDescent="0.2">
      <c r="C35" s="64">
        <v>47515</v>
      </c>
      <c r="D35" s="65"/>
      <c r="E35" s="66">
        <v>60000</v>
      </c>
      <c r="F35" s="66"/>
      <c r="G35" s="67">
        <v>100</v>
      </c>
      <c r="H35" s="67"/>
      <c r="I35" s="66">
        <v>60000</v>
      </c>
      <c r="J35" s="66"/>
      <c r="K35" s="83">
        <v>19.338888888888899</v>
      </c>
      <c r="L35" s="83"/>
      <c r="M35" s="68">
        <v>1160333.333333333</v>
      </c>
    </row>
    <row r="36" spans="3:13" ht="1.35" customHeight="1" x14ac:dyDescent="0.2">
      <c r="C36" s="62"/>
      <c r="D36" s="63"/>
      <c r="E36" s="63"/>
      <c r="F36" s="63"/>
      <c r="G36" s="63"/>
      <c r="H36" s="63"/>
      <c r="I36" s="63"/>
      <c r="J36" s="63"/>
      <c r="K36" s="63"/>
      <c r="L36" s="63"/>
      <c r="M36" s="62"/>
    </row>
    <row r="37" spans="3:13" ht="1.35" customHeight="1" x14ac:dyDescent="0.2"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</row>
    <row r="38" spans="3:13" ht="12.75" customHeight="1" x14ac:dyDescent="0.2">
      <c r="C38" s="70">
        <v>0</v>
      </c>
      <c r="D38" s="70"/>
      <c r="E38" s="71">
        <v>1055000</v>
      </c>
      <c r="F38" s="71"/>
      <c r="G38" s="72">
        <v>0</v>
      </c>
      <c r="H38" s="72"/>
      <c r="I38" s="71">
        <v>1055000</v>
      </c>
      <c r="J38" s="71"/>
      <c r="K38" s="72">
        <v>0</v>
      </c>
      <c r="L38" s="72"/>
      <c r="M38" s="71">
        <v>11372527.779999999</v>
      </c>
    </row>
    <row r="39" spans="3:13" ht="1.35" customHeight="1" x14ac:dyDescent="0.2"/>
    <row r="40" spans="3:13" ht="10.9" customHeight="1" x14ac:dyDescent="0.2"/>
    <row r="41" spans="3:13" ht="10.9" customHeight="1" x14ac:dyDescent="0.2">
      <c r="C41" s="44" t="s">
        <v>81</v>
      </c>
      <c r="D41" s="44"/>
      <c r="E41" s="73"/>
      <c r="F41" s="73"/>
      <c r="G41" s="73"/>
      <c r="H41" s="73"/>
      <c r="I41" s="73"/>
      <c r="J41" s="73"/>
      <c r="K41" s="73"/>
      <c r="L41" s="73"/>
      <c r="M41" s="45" t="s">
        <v>49</v>
      </c>
    </row>
    <row r="42" spans="3:13" ht="10.9" customHeight="1" x14ac:dyDescent="0.2">
      <c r="C42" s="74" t="s">
        <v>46</v>
      </c>
      <c r="D42" s="74"/>
      <c r="M42" s="75" t="s">
        <v>49</v>
      </c>
    </row>
    <row r="43" spans="3:13" ht="10.9" customHeight="1" x14ac:dyDescent="0.2">
      <c r="C43" s="46" t="s">
        <v>122</v>
      </c>
      <c r="D43" s="46"/>
      <c r="E43" s="62"/>
      <c r="F43" s="62"/>
      <c r="G43" s="62"/>
      <c r="H43" s="62"/>
      <c r="I43" s="62"/>
      <c r="J43" s="62"/>
      <c r="K43" s="62"/>
      <c r="L43" s="62"/>
      <c r="M43" s="76">
        <v>10.7796471827278</v>
      </c>
    </row>
    <row r="44" spans="3:13" ht="10.9" customHeight="1" x14ac:dyDescent="0.2">
      <c r="C44" s="49" t="s">
        <v>46</v>
      </c>
      <c r="D44" s="74"/>
      <c r="M44" s="50" t="s">
        <v>49</v>
      </c>
    </row>
    <row r="45" spans="3:13" ht="10.9" customHeight="1" x14ac:dyDescent="0.2">
      <c r="C45" s="46" t="s">
        <v>123</v>
      </c>
      <c r="D45" s="46"/>
      <c r="E45" s="62"/>
      <c r="F45" s="62"/>
      <c r="G45" s="62"/>
      <c r="H45" s="62"/>
      <c r="I45" s="62"/>
      <c r="J45" s="62"/>
      <c r="K45" s="62"/>
      <c r="L45" s="62"/>
      <c r="M45" s="48">
        <v>335113.40000000002</v>
      </c>
    </row>
    <row r="46" spans="3:13" ht="10.9" customHeight="1" x14ac:dyDescent="0.2">
      <c r="C46" s="49" t="s">
        <v>46</v>
      </c>
      <c r="D46" s="74"/>
      <c r="M46" s="50" t="s">
        <v>49</v>
      </c>
    </row>
    <row r="47" spans="3:13" ht="10.9" customHeight="1" x14ac:dyDescent="0.2">
      <c r="C47" s="46" t="s">
        <v>124</v>
      </c>
      <c r="D47" s="46"/>
      <c r="E47" s="62"/>
      <c r="F47" s="62"/>
      <c r="G47" s="62"/>
      <c r="H47" s="62"/>
      <c r="I47" s="62"/>
      <c r="J47" s="62"/>
      <c r="K47" s="62"/>
      <c r="L47" s="62"/>
      <c r="M47" s="48">
        <v>335113.40000000002</v>
      </c>
    </row>
    <row r="48" spans="3:13" ht="10.9" customHeight="1" x14ac:dyDescent="0.2">
      <c r="C48" s="49" t="s">
        <v>46</v>
      </c>
      <c r="D48" s="74"/>
      <c r="M48" s="50" t="s">
        <v>49</v>
      </c>
    </row>
    <row r="49" spans="1:13" ht="10.9" customHeight="1" x14ac:dyDescent="0.2">
      <c r="C49" s="46" t="s">
        <v>125</v>
      </c>
      <c r="D49" s="46"/>
      <c r="E49" s="62"/>
      <c r="F49" s="62"/>
      <c r="G49" s="62"/>
      <c r="H49" s="62"/>
      <c r="I49" s="62"/>
      <c r="J49" s="62"/>
      <c r="K49" s="62"/>
      <c r="L49" s="62"/>
      <c r="M49" s="77">
        <v>2.9466922969827398</v>
      </c>
    </row>
    <row r="50" spans="1:13" ht="10.9" customHeight="1" x14ac:dyDescent="0.2">
      <c r="C50" s="49" t="s">
        <v>46</v>
      </c>
      <c r="D50" s="74"/>
      <c r="M50" s="50" t="s">
        <v>49</v>
      </c>
    </row>
    <row r="51" spans="1:13" ht="10.9" customHeight="1" x14ac:dyDescent="0.2">
      <c r="C51" s="46" t="s">
        <v>79</v>
      </c>
      <c r="D51" s="46"/>
      <c r="E51" s="62"/>
      <c r="F51" s="62"/>
      <c r="G51" s="62"/>
      <c r="H51" s="62"/>
      <c r="I51" s="62"/>
      <c r="J51" s="62"/>
      <c r="K51" s="62"/>
      <c r="L51" s="62"/>
      <c r="M51" s="77">
        <v>2.8978799801691801</v>
      </c>
    </row>
    <row r="52" spans="1:13" ht="31.9" customHeight="1" x14ac:dyDescent="0.2"/>
    <row r="53" spans="1:13" ht="137.25" customHeight="1" x14ac:dyDescent="0.2"/>
    <row r="54" spans="1:13" ht="12.75" customHeight="1" x14ac:dyDescent="0.2">
      <c r="C54" s="54" t="s">
        <v>63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</row>
    <row r="55" spans="1:13" ht="12.75" customHeight="1" x14ac:dyDescent="0.3"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</row>
    <row r="56" spans="1:13" ht="18.75" customHeight="1" x14ac:dyDescent="0.3">
      <c r="C56" s="56" t="s">
        <v>0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</row>
    <row r="57" spans="1:13" ht="12.75" customHeight="1" x14ac:dyDescent="0.2">
      <c r="C57" s="57" t="s">
        <v>64</v>
      </c>
      <c r="D57" s="57"/>
      <c r="E57" s="57"/>
      <c r="F57" s="57"/>
      <c r="G57" s="57"/>
      <c r="H57" s="57"/>
      <c r="I57" s="57"/>
      <c r="J57" s="57"/>
      <c r="K57" s="57"/>
      <c r="L57" s="57"/>
      <c r="M57" s="58" t="s">
        <v>126</v>
      </c>
    </row>
    <row r="59" spans="1:13" ht="2.1" customHeight="1" x14ac:dyDescent="0.2">
      <c r="A59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O43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8.5703125" style="36" customWidth="1"/>
    <col min="4" max="4" width="4.7109375" style="36" customWidth="1"/>
    <col min="5" max="5" width="11.42578125" style="36" customWidth="1"/>
    <col min="6" max="6" width="4.7109375" style="36" customWidth="1"/>
    <col min="7" max="7" width="5" style="36" customWidth="1"/>
    <col min="8" max="8" width="4.7109375" style="36" customWidth="1"/>
    <col min="9" max="9" width="11.42578125" style="36" customWidth="1"/>
    <col min="10" max="10" width="4.7109375" style="36" customWidth="1"/>
    <col min="11" max="11" width="14.140625" style="36" customWidth="1"/>
    <col min="12" max="12" width="4.7109375" style="36" customWidth="1"/>
    <col min="13" max="13" width="11.42578125" style="36" customWidth="1"/>
    <col min="14" max="14" width="8.5703125" style="36" customWidth="1"/>
    <col min="15" max="16" width="0.42578125" style="36" customWidth="1"/>
    <col min="17" max="17" width="9.140625" style="36" customWidth="1"/>
    <col min="18" max="256" width="13.28515625" style="36"/>
    <col min="257" max="257" width="0.42578125" style="36" customWidth="1"/>
    <col min="258" max="258" width="6.85546875" style="36" customWidth="1"/>
    <col min="259" max="259" width="8.5703125" style="36" customWidth="1"/>
    <col min="260" max="260" width="4.7109375" style="36" customWidth="1"/>
    <col min="261" max="261" width="11.42578125" style="36" customWidth="1"/>
    <col min="262" max="262" width="4.7109375" style="36" customWidth="1"/>
    <col min="263" max="263" width="5" style="36" customWidth="1"/>
    <col min="264" max="264" width="4.7109375" style="36" customWidth="1"/>
    <col min="265" max="265" width="11.42578125" style="36" customWidth="1"/>
    <col min="266" max="266" width="4.7109375" style="36" customWidth="1"/>
    <col min="267" max="267" width="14.140625" style="36" customWidth="1"/>
    <col min="268" max="268" width="4.7109375" style="36" customWidth="1"/>
    <col min="269" max="269" width="11.42578125" style="36" customWidth="1"/>
    <col min="270" max="270" width="8.5703125" style="36" customWidth="1"/>
    <col min="271" max="272" width="0.42578125" style="36" customWidth="1"/>
    <col min="273" max="273" width="9.140625" style="36" customWidth="1"/>
    <col min="274" max="512" width="13.28515625" style="36"/>
    <col min="513" max="513" width="0.42578125" style="36" customWidth="1"/>
    <col min="514" max="514" width="6.85546875" style="36" customWidth="1"/>
    <col min="515" max="515" width="8.5703125" style="36" customWidth="1"/>
    <col min="516" max="516" width="4.7109375" style="36" customWidth="1"/>
    <col min="517" max="517" width="11.42578125" style="36" customWidth="1"/>
    <col min="518" max="518" width="4.7109375" style="36" customWidth="1"/>
    <col min="519" max="519" width="5" style="36" customWidth="1"/>
    <col min="520" max="520" width="4.7109375" style="36" customWidth="1"/>
    <col min="521" max="521" width="11.42578125" style="36" customWidth="1"/>
    <col min="522" max="522" width="4.7109375" style="36" customWidth="1"/>
    <col min="523" max="523" width="14.140625" style="36" customWidth="1"/>
    <col min="524" max="524" width="4.7109375" style="36" customWidth="1"/>
    <col min="525" max="525" width="11.42578125" style="36" customWidth="1"/>
    <col min="526" max="526" width="8.5703125" style="36" customWidth="1"/>
    <col min="527" max="528" width="0.42578125" style="36" customWidth="1"/>
    <col min="529" max="529" width="9.140625" style="36" customWidth="1"/>
    <col min="530" max="768" width="13.28515625" style="36"/>
    <col min="769" max="769" width="0.42578125" style="36" customWidth="1"/>
    <col min="770" max="770" width="6.85546875" style="36" customWidth="1"/>
    <col min="771" max="771" width="8.5703125" style="36" customWidth="1"/>
    <col min="772" max="772" width="4.7109375" style="36" customWidth="1"/>
    <col min="773" max="773" width="11.42578125" style="36" customWidth="1"/>
    <col min="774" max="774" width="4.7109375" style="36" customWidth="1"/>
    <col min="775" max="775" width="5" style="36" customWidth="1"/>
    <col min="776" max="776" width="4.7109375" style="36" customWidth="1"/>
    <col min="777" max="777" width="11.42578125" style="36" customWidth="1"/>
    <col min="778" max="778" width="4.7109375" style="36" customWidth="1"/>
    <col min="779" max="779" width="14.140625" style="36" customWidth="1"/>
    <col min="780" max="780" width="4.7109375" style="36" customWidth="1"/>
    <col min="781" max="781" width="11.42578125" style="36" customWidth="1"/>
    <col min="782" max="782" width="8.5703125" style="36" customWidth="1"/>
    <col min="783" max="784" width="0.42578125" style="36" customWidth="1"/>
    <col min="785" max="785" width="9.140625" style="36" customWidth="1"/>
    <col min="786" max="1024" width="13.28515625" style="36"/>
    <col min="1025" max="1025" width="0.42578125" style="36" customWidth="1"/>
    <col min="1026" max="1026" width="6.85546875" style="36" customWidth="1"/>
    <col min="1027" max="1027" width="8.5703125" style="36" customWidth="1"/>
    <col min="1028" max="1028" width="4.7109375" style="36" customWidth="1"/>
    <col min="1029" max="1029" width="11.42578125" style="36" customWidth="1"/>
    <col min="1030" max="1030" width="4.7109375" style="36" customWidth="1"/>
    <col min="1031" max="1031" width="5" style="36" customWidth="1"/>
    <col min="1032" max="1032" width="4.7109375" style="36" customWidth="1"/>
    <col min="1033" max="1033" width="11.42578125" style="36" customWidth="1"/>
    <col min="1034" max="1034" width="4.7109375" style="36" customWidth="1"/>
    <col min="1035" max="1035" width="14.140625" style="36" customWidth="1"/>
    <col min="1036" max="1036" width="4.7109375" style="36" customWidth="1"/>
    <col min="1037" max="1037" width="11.42578125" style="36" customWidth="1"/>
    <col min="1038" max="1038" width="8.5703125" style="36" customWidth="1"/>
    <col min="1039" max="1040" width="0.42578125" style="36" customWidth="1"/>
    <col min="1041" max="1041" width="9.140625" style="36" customWidth="1"/>
    <col min="1042" max="1280" width="13.28515625" style="36"/>
    <col min="1281" max="1281" width="0.42578125" style="36" customWidth="1"/>
    <col min="1282" max="1282" width="6.85546875" style="36" customWidth="1"/>
    <col min="1283" max="1283" width="8.5703125" style="36" customWidth="1"/>
    <col min="1284" max="1284" width="4.7109375" style="36" customWidth="1"/>
    <col min="1285" max="1285" width="11.42578125" style="36" customWidth="1"/>
    <col min="1286" max="1286" width="4.7109375" style="36" customWidth="1"/>
    <col min="1287" max="1287" width="5" style="36" customWidth="1"/>
    <col min="1288" max="1288" width="4.7109375" style="36" customWidth="1"/>
    <col min="1289" max="1289" width="11.42578125" style="36" customWidth="1"/>
    <col min="1290" max="1290" width="4.7109375" style="36" customWidth="1"/>
    <col min="1291" max="1291" width="14.140625" style="36" customWidth="1"/>
    <col min="1292" max="1292" width="4.7109375" style="36" customWidth="1"/>
    <col min="1293" max="1293" width="11.42578125" style="36" customWidth="1"/>
    <col min="1294" max="1294" width="8.5703125" style="36" customWidth="1"/>
    <col min="1295" max="1296" width="0.42578125" style="36" customWidth="1"/>
    <col min="1297" max="1297" width="9.140625" style="36" customWidth="1"/>
    <col min="1298" max="1536" width="13.28515625" style="36"/>
    <col min="1537" max="1537" width="0.42578125" style="36" customWidth="1"/>
    <col min="1538" max="1538" width="6.85546875" style="36" customWidth="1"/>
    <col min="1539" max="1539" width="8.5703125" style="36" customWidth="1"/>
    <col min="1540" max="1540" width="4.7109375" style="36" customWidth="1"/>
    <col min="1541" max="1541" width="11.42578125" style="36" customWidth="1"/>
    <col min="1542" max="1542" width="4.7109375" style="36" customWidth="1"/>
    <col min="1543" max="1543" width="5" style="36" customWidth="1"/>
    <col min="1544" max="1544" width="4.7109375" style="36" customWidth="1"/>
    <col min="1545" max="1545" width="11.42578125" style="36" customWidth="1"/>
    <col min="1546" max="1546" width="4.7109375" style="36" customWidth="1"/>
    <col min="1547" max="1547" width="14.140625" style="36" customWidth="1"/>
    <col min="1548" max="1548" width="4.7109375" style="36" customWidth="1"/>
    <col min="1549" max="1549" width="11.42578125" style="36" customWidth="1"/>
    <col min="1550" max="1550" width="8.5703125" style="36" customWidth="1"/>
    <col min="1551" max="1552" width="0.42578125" style="36" customWidth="1"/>
    <col min="1553" max="1553" width="9.140625" style="36" customWidth="1"/>
    <col min="1554" max="1792" width="13.28515625" style="36"/>
    <col min="1793" max="1793" width="0.42578125" style="36" customWidth="1"/>
    <col min="1794" max="1794" width="6.85546875" style="36" customWidth="1"/>
    <col min="1795" max="1795" width="8.5703125" style="36" customWidth="1"/>
    <col min="1796" max="1796" width="4.7109375" style="36" customWidth="1"/>
    <col min="1797" max="1797" width="11.42578125" style="36" customWidth="1"/>
    <col min="1798" max="1798" width="4.7109375" style="36" customWidth="1"/>
    <col min="1799" max="1799" width="5" style="36" customWidth="1"/>
    <col min="1800" max="1800" width="4.7109375" style="36" customWidth="1"/>
    <col min="1801" max="1801" width="11.42578125" style="36" customWidth="1"/>
    <col min="1802" max="1802" width="4.7109375" style="36" customWidth="1"/>
    <col min="1803" max="1803" width="14.140625" style="36" customWidth="1"/>
    <col min="1804" max="1804" width="4.7109375" style="36" customWidth="1"/>
    <col min="1805" max="1805" width="11.42578125" style="36" customWidth="1"/>
    <col min="1806" max="1806" width="8.5703125" style="36" customWidth="1"/>
    <col min="1807" max="1808" width="0.42578125" style="36" customWidth="1"/>
    <col min="1809" max="1809" width="9.140625" style="36" customWidth="1"/>
    <col min="1810" max="2048" width="13.28515625" style="36"/>
    <col min="2049" max="2049" width="0.42578125" style="36" customWidth="1"/>
    <col min="2050" max="2050" width="6.85546875" style="36" customWidth="1"/>
    <col min="2051" max="2051" width="8.5703125" style="36" customWidth="1"/>
    <col min="2052" max="2052" width="4.7109375" style="36" customWidth="1"/>
    <col min="2053" max="2053" width="11.42578125" style="36" customWidth="1"/>
    <col min="2054" max="2054" width="4.7109375" style="36" customWidth="1"/>
    <col min="2055" max="2055" width="5" style="36" customWidth="1"/>
    <col min="2056" max="2056" width="4.7109375" style="36" customWidth="1"/>
    <col min="2057" max="2057" width="11.42578125" style="36" customWidth="1"/>
    <col min="2058" max="2058" width="4.7109375" style="36" customWidth="1"/>
    <col min="2059" max="2059" width="14.140625" style="36" customWidth="1"/>
    <col min="2060" max="2060" width="4.7109375" style="36" customWidth="1"/>
    <col min="2061" max="2061" width="11.42578125" style="36" customWidth="1"/>
    <col min="2062" max="2062" width="8.5703125" style="36" customWidth="1"/>
    <col min="2063" max="2064" width="0.42578125" style="36" customWidth="1"/>
    <col min="2065" max="2065" width="9.140625" style="36" customWidth="1"/>
    <col min="2066" max="2304" width="13.28515625" style="36"/>
    <col min="2305" max="2305" width="0.42578125" style="36" customWidth="1"/>
    <col min="2306" max="2306" width="6.85546875" style="36" customWidth="1"/>
    <col min="2307" max="2307" width="8.5703125" style="36" customWidth="1"/>
    <col min="2308" max="2308" width="4.7109375" style="36" customWidth="1"/>
    <col min="2309" max="2309" width="11.42578125" style="36" customWidth="1"/>
    <col min="2310" max="2310" width="4.7109375" style="36" customWidth="1"/>
    <col min="2311" max="2311" width="5" style="36" customWidth="1"/>
    <col min="2312" max="2312" width="4.7109375" style="36" customWidth="1"/>
    <col min="2313" max="2313" width="11.42578125" style="36" customWidth="1"/>
    <col min="2314" max="2314" width="4.7109375" style="36" customWidth="1"/>
    <col min="2315" max="2315" width="14.140625" style="36" customWidth="1"/>
    <col min="2316" max="2316" width="4.7109375" style="36" customWidth="1"/>
    <col min="2317" max="2317" width="11.42578125" style="36" customWidth="1"/>
    <col min="2318" max="2318" width="8.5703125" style="36" customWidth="1"/>
    <col min="2319" max="2320" width="0.42578125" style="36" customWidth="1"/>
    <col min="2321" max="2321" width="9.140625" style="36" customWidth="1"/>
    <col min="2322" max="2560" width="13.28515625" style="36"/>
    <col min="2561" max="2561" width="0.42578125" style="36" customWidth="1"/>
    <col min="2562" max="2562" width="6.85546875" style="36" customWidth="1"/>
    <col min="2563" max="2563" width="8.5703125" style="36" customWidth="1"/>
    <col min="2564" max="2564" width="4.7109375" style="36" customWidth="1"/>
    <col min="2565" max="2565" width="11.42578125" style="36" customWidth="1"/>
    <col min="2566" max="2566" width="4.7109375" style="36" customWidth="1"/>
    <col min="2567" max="2567" width="5" style="36" customWidth="1"/>
    <col min="2568" max="2568" width="4.7109375" style="36" customWidth="1"/>
    <col min="2569" max="2569" width="11.42578125" style="36" customWidth="1"/>
    <col min="2570" max="2570" width="4.7109375" style="36" customWidth="1"/>
    <col min="2571" max="2571" width="14.140625" style="36" customWidth="1"/>
    <col min="2572" max="2572" width="4.7109375" style="36" customWidth="1"/>
    <col min="2573" max="2573" width="11.42578125" style="36" customWidth="1"/>
    <col min="2574" max="2574" width="8.5703125" style="36" customWidth="1"/>
    <col min="2575" max="2576" width="0.42578125" style="36" customWidth="1"/>
    <col min="2577" max="2577" width="9.140625" style="36" customWidth="1"/>
    <col min="2578" max="2816" width="13.28515625" style="36"/>
    <col min="2817" max="2817" width="0.42578125" style="36" customWidth="1"/>
    <col min="2818" max="2818" width="6.85546875" style="36" customWidth="1"/>
    <col min="2819" max="2819" width="8.5703125" style="36" customWidth="1"/>
    <col min="2820" max="2820" width="4.7109375" style="36" customWidth="1"/>
    <col min="2821" max="2821" width="11.42578125" style="36" customWidth="1"/>
    <col min="2822" max="2822" width="4.7109375" style="36" customWidth="1"/>
    <col min="2823" max="2823" width="5" style="36" customWidth="1"/>
    <col min="2824" max="2824" width="4.7109375" style="36" customWidth="1"/>
    <col min="2825" max="2825" width="11.42578125" style="36" customWidth="1"/>
    <col min="2826" max="2826" width="4.7109375" style="36" customWidth="1"/>
    <col min="2827" max="2827" width="14.140625" style="36" customWidth="1"/>
    <col min="2828" max="2828" width="4.7109375" style="36" customWidth="1"/>
    <col min="2829" max="2829" width="11.42578125" style="36" customWidth="1"/>
    <col min="2830" max="2830" width="8.5703125" style="36" customWidth="1"/>
    <col min="2831" max="2832" width="0.42578125" style="36" customWidth="1"/>
    <col min="2833" max="2833" width="9.140625" style="36" customWidth="1"/>
    <col min="2834" max="3072" width="13.28515625" style="36"/>
    <col min="3073" max="3073" width="0.42578125" style="36" customWidth="1"/>
    <col min="3074" max="3074" width="6.85546875" style="36" customWidth="1"/>
    <col min="3075" max="3075" width="8.5703125" style="36" customWidth="1"/>
    <col min="3076" max="3076" width="4.7109375" style="36" customWidth="1"/>
    <col min="3077" max="3077" width="11.42578125" style="36" customWidth="1"/>
    <col min="3078" max="3078" width="4.7109375" style="36" customWidth="1"/>
    <col min="3079" max="3079" width="5" style="36" customWidth="1"/>
    <col min="3080" max="3080" width="4.7109375" style="36" customWidth="1"/>
    <col min="3081" max="3081" width="11.42578125" style="36" customWidth="1"/>
    <col min="3082" max="3082" width="4.7109375" style="36" customWidth="1"/>
    <col min="3083" max="3083" width="14.140625" style="36" customWidth="1"/>
    <col min="3084" max="3084" width="4.7109375" style="36" customWidth="1"/>
    <col min="3085" max="3085" width="11.42578125" style="36" customWidth="1"/>
    <col min="3086" max="3086" width="8.5703125" style="36" customWidth="1"/>
    <col min="3087" max="3088" width="0.42578125" style="36" customWidth="1"/>
    <col min="3089" max="3089" width="9.140625" style="36" customWidth="1"/>
    <col min="3090" max="3328" width="13.28515625" style="36"/>
    <col min="3329" max="3329" width="0.42578125" style="36" customWidth="1"/>
    <col min="3330" max="3330" width="6.85546875" style="36" customWidth="1"/>
    <col min="3331" max="3331" width="8.5703125" style="36" customWidth="1"/>
    <col min="3332" max="3332" width="4.7109375" style="36" customWidth="1"/>
    <col min="3333" max="3333" width="11.42578125" style="36" customWidth="1"/>
    <col min="3334" max="3334" width="4.7109375" style="36" customWidth="1"/>
    <col min="3335" max="3335" width="5" style="36" customWidth="1"/>
    <col min="3336" max="3336" width="4.7109375" style="36" customWidth="1"/>
    <col min="3337" max="3337" width="11.42578125" style="36" customWidth="1"/>
    <col min="3338" max="3338" width="4.7109375" style="36" customWidth="1"/>
    <col min="3339" max="3339" width="14.140625" style="36" customWidth="1"/>
    <col min="3340" max="3340" width="4.7109375" style="36" customWidth="1"/>
    <col min="3341" max="3341" width="11.42578125" style="36" customWidth="1"/>
    <col min="3342" max="3342" width="8.5703125" style="36" customWidth="1"/>
    <col min="3343" max="3344" width="0.42578125" style="36" customWidth="1"/>
    <col min="3345" max="3345" width="9.140625" style="36" customWidth="1"/>
    <col min="3346" max="3584" width="13.28515625" style="36"/>
    <col min="3585" max="3585" width="0.42578125" style="36" customWidth="1"/>
    <col min="3586" max="3586" width="6.85546875" style="36" customWidth="1"/>
    <col min="3587" max="3587" width="8.5703125" style="36" customWidth="1"/>
    <col min="3588" max="3588" width="4.7109375" style="36" customWidth="1"/>
    <col min="3589" max="3589" width="11.42578125" style="36" customWidth="1"/>
    <col min="3590" max="3590" width="4.7109375" style="36" customWidth="1"/>
    <col min="3591" max="3591" width="5" style="36" customWidth="1"/>
    <col min="3592" max="3592" width="4.7109375" style="36" customWidth="1"/>
    <col min="3593" max="3593" width="11.42578125" style="36" customWidth="1"/>
    <col min="3594" max="3594" width="4.7109375" style="36" customWidth="1"/>
    <col min="3595" max="3595" width="14.140625" style="36" customWidth="1"/>
    <col min="3596" max="3596" width="4.7109375" style="36" customWidth="1"/>
    <col min="3597" max="3597" width="11.42578125" style="36" customWidth="1"/>
    <col min="3598" max="3598" width="8.5703125" style="36" customWidth="1"/>
    <col min="3599" max="3600" width="0.42578125" style="36" customWidth="1"/>
    <col min="3601" max="3601" width="9.140625" style="36" customWidth="1"/>
    <col min="3602" max="3840" width="13.28515625" style="36"/>
    <col min="3841" max="3841" width="0.42578125" style="36" customWidth="1"/>
    <col min="3842" max="3842" width="6.85546875" style="36" customWidth="1"/>
    <col min="3843" max="3843" width="8.5703125" style="36" customWidth="1"/>
    <col min="3844" max="3844" width="4.7109375" style="36" customWidth="1"/>
    <col min="3845" max="3845" width="11.42578125" style="36" customWidth="1"/>
    <col min="3846" max="3846" width="4.7109375" style="36" customWidth="1"/>
    <col min="3847" max="3847" width="5" style="36" customWidth="1"/>
    <col min="3848" max="3848" width="4.7109375" style="36" customWidth="1"/>
    <col min="3849" max="3849" width="11.42578125" style="36" customWidth="1"/>
    <col min="3850" max="3850" width="4.7109375" style="36" customWidth="1"/>
    <col min="3851" max="3851" width="14.140625" style="36" customWidth="1"/>
    <col min="3852" max="3852" width="4.7109375" style="36" customWidth="1"/>
    <col min="3853" max="3853" width="11.42578125" style="36" customWidth="1"/>
    <col min="3854" max="3854" width="8.5703125" style="36" customWidth="1"/>
    <col min="3855" max="3856" width="0.42578125" style="36" customWidth="1"/>
    <col min="3857" max="3857" width="9.140625" style="36" customWidth="1"/>
    <col min="3858" max="4096" width="13.28515625" style="36"/>
    <col min="4097" max="4097" width="0.42578125" style="36" customWidth="1"/>
    <col min="4098" max="4098" width="6.85546875" style="36" customWidth="1"/>
    <col min="4099" max="4099" width="8.5703125" style="36" customWidth="1"/>
    <col min="4100" max="4100" width="4.7109375" style="36" customWidth="1"/>
    <col min="4101" max="4101" width="11.42578125" style="36" customWidth="1"/>
    <col min="4102" max="4102" width="4.7109375" style="36" customWidth="1"/>
    <col min="4103" max="4103" width="5" style="36" customWidth="1"/>
    <col min="4104" max="4104" width="4.7109375" style="36" customWidth="1"/>
    <col min="4105" max="4105" width="11.42578125" style="36" customWidth="1"/>
    <col min="4106" max="4106" width="4.7109375" style="36" customWidth="1"/>
    <col min="4107" max="4107" width="14.140625" style="36" customWidth="1"/>
    <col min="4108" max="4108" width="4.7109375" style="36" customWidth="1"/>
    <col min="4109" max="4109" width="11.42578125" style="36" customWidth="1"/>
    <col min="4110" max="4110" width="8.5703125" style="36" customWidth="1"/>
    <col min="4111" max="4112" width="0.42578125" style="36" customWidth="1"/>
    <col min="4113" max="4113" width="9.140625" style="36" customWidth="1"/>
    <col min="4114" max="4352" width="13.28515625" style="36"/>
    <col min="4353" max="4353" width="0.42578125" style="36" customWidth="1"/>
    <col min="4354" max="4354" width="6.85546875" style="36" customWidth="1"/>
    <col min="4355" max="4355" width="8.5703125" style="36" customWidth="1"/>
    <col min="4356" max="4356" width="4.7109375" style="36" customWidth="1"/>
    <col min="4357" max="4357" width="11.42578125" style="36" customWidth="1"/>
    <col min="4358" max="4358" width="4.7109375" style="36" customWidth="1"/>
    <col min="4359" max="4359" width="5" style="36" customWidth="1"/>
    <col min="4360" max="4360" width="4.7109375" style="36" customWidth="1"/>
    <col min="4361" max="4361" width="11.42578125" style="36" customWidth="1"/>
    <col min="4362" max="4362" width="4.7109375" style="36" customWidth="1"/>
    <col min="4363" max="4363" width="14.140625" style="36" customWidth="1"/>
    <col min="4364" max="4364" width="4.7109375" style="36" customWidth="1"/>
    <col min="4365" max="4365" width="11.42578125" style="36" customWidth="1"/>
    <col min="4366" max="4366" width="8.5703125" style="36" customWidth="1"/>
    <col min="4367" max="4368" width="0.42578125" style="36" customWidth="1"/>
    <col min="4369" max="4369" width="9.140625" style="36" customWidth="1"/>
    <col min="4370" max="4608" width="13.28515625" style="36"/>
    <col min="4609" max="4609" width="0.42578125" style="36" customWidth="1"/>
    <col min="4610" max="4610" width="6.85546875" style="36" customWidth="1"/>
    <col min="4611" max="4611" width="8.5703125" style="36" customWidth="1"/>
    <col min="4612" max="4612" width="4.7109375" style="36" customWidth="1"/>
    <col min="4613" max="4613" width="11.42578125" style="36" customWidth="1"/>
    <col min="4614" max="4614" width="4.7109375" style="36" customWidth="1"/>
    <col min="4615" max="4615" width="5" style="36" customWidth="1"/>
    <col min="4616" max="4616" width="4.7109375" style="36" customWidth="1"/>
    <col min="4617" max="4617" width="11.42578125" style="36" customWidth="1"/>
    <col min="4618" max="4618" width="4.7109375" style="36" customWidth="1"/>
    <col min="4619" max="4619" width="14.140625" style="36" customWidth="1"/>
    <col min="4620" max="4620" width="4.7109375" style="36" customWidth="1"/>
    <col min="4621" max="4621" width="11.42578125" style="36" customWidth="1"/>
    <col min="4622" max="4622" width="8.5703125" style="36" customWidth="1"/>
    <col min="4623" max="4624" width="0.42578125" style="36" customWidth="1"/>
    <col min="4625" max="4625" width="9.140625" style="36" customWidth="1"/>
    <col min="4626" max="4864" width="13.28515625" style="36"/>
    <col min="4865" max="4865" width="0.42578125" style="36" customWidth="1"/>
    <col min="4866" max="4866" width="6.85546875" style="36" customWidth="1"/>
    <col min="4867" max="4867" width="8.5703125" style="36" customWidth="1"/>
    <col min="4868" max="4868" width="4.7109375" style="36" customWidth="1"/>
    <col min="4869" max="4869" width="11.42578125" style="36" customWidth="1"/>
    <col min="4870" max="4870" width="4.7109375" style="36" customWidth="1"/>
    <col min="4871" max="4871" width="5" style="36" customWidth="1"/>
    <col min="4872" max="4872" width="4.7109375" style="36" customWidth="1"/>
    <col min="4873" max="4873" width="11.42578125" style="36" customWidth="1"/>
    <col min="4874" max="4874" width="4.7109375" style="36" customWidth="1"/>
    <col min="4875" max="4875" width="14.140625" style="36" customWidth="1"/>
    <col min="4876" max="4876" width="4.7109375" style="36" customWidth="1"/>
    <col min="4877" max="4877" width="11.42578125" style="36" customWidth="1"/>
    <col min="4878" max="4878" width="8.5703125" style="36" customWidth="1"/>
    <col min="4879" max="4880" width="0.42578125" style="36" customWidth="1"/>
    <col min="4881" max="4881" width="9.140625" style="36" customWidth="1"/>
    <col min="4882" max="5120" width="13.28515625" style="36"/>
    <col min="5121" max="5121" width="0.42578125" style="36" customWidth="1"/>
    <col min="5122" max="5122" width="6.85546875" style="36" customWidth="1"/>
    <col min="5123" max="5123" width="8.5703125" style="36" customWidth="1"/>
    <col min="5124" max="5124" width="4.7109375" style="36" customWidth="1"/>
    <col min="5125" max="5125" width="11.42578125" style="36" customWidth="1"/>
    <col min="5126" max="5126" width="4.7109375" style="36" customWidth="1"/>
    <col min="5127" max="5127" width="5" style="36" customWidth="1"/>
    <col min="5128" max="5128" width="4.7109375" style="36" customWidth="1"/>
    <col min="5129" max="5129" width="11.42578125" style="36" customWidth="1"/>
    <col min="5130" max="5130" width="4.7109375" style="36" customWidth="1"/>
    <col min="5131" max="5131" width="14.140625" style="36" customWidth="1"/>
    <col min="5132" max="5132" width="4.7109375" style="36" customWidth="1"/>
    <col min="5133" max="5133" width="11.42578125" style="36" customWidth="1"/>
    <col min="5134" max="5134" width="8.5703125" style="36" customWidth="1"/>
    <col min="5135" max="5136" width="0.42578125" style="36" customWidth="1"/>
    <col min="5137" max="5137" width="9.140625" style="36" customWidth="1"/>
    <col min="5138" max="5376" width="13.28515625" style="36"/>
    <col min="5377" max="5377" width="0.42578125" style="36" customWidth="1"/>
    <col min="5378" max="5378" width="6.85546875" style="36" customWidth="1"/>
    <col min="5379" max="5379" width="8.5703125" style="36" customWidth="1"/>
    <col min="5380" max="5380" width="4.7109375" style="36" customWidth="1"/>
    <col min="5381" max="5381" width="11.42578125" style="36" customWidth="1"/>
    <col min="5382" max="5382" width="4.7109375" style="36" customWidth="1"/>
    <col min="5383" max="5383" width="5" style="36" customWidth="1"/>
    <col min="5384" max="5384" width="4.7109375" style="36" customWidth="1"/>
    <col min="5385" max="5385" width="11.42578125" style="36" customWidth="1"/>
    <col min="5386" max="5386" width="4.7109375" style="36" customWidth="1"/>
    <col min="5387" max="5387" width="14.140625" style="36" customWidth="1"/>
    <col min="5388" max="5388" width="4.7109375" style="36" customWidth="1"/>
    <col min="5389" max="5389" width="11.42578125" style="36" customWidth="1"/>
    <col min="5390" max="5390" width="8.5703125" style="36" customWidth="1"/>
    <col min="5391" max="5392" width="0.42578125" style="36" customWidth="1"/>
    <col min="5393" max="5393" width="9.140625" style="36" customWidth="1"/>
    <col min="5394" max="5632" width="13.28515625" style="36"/>
    <col min="5633" max="5633" width="0.42578125" style="36" customWidth="1"/>
    <col min="5634" max="5634" width="6.85546875" style="36" customWidth="1"/>
    <col min="5635" max="5635" width="8.5703125" style="36" customWidth="1"/>
    <col min="5636" max="5636" width="4.7109375" style="36" customWidth="1"/>
    <col min="5637" max="5637" width="11.42578125" style="36" customWidth="1"/>
    <col min="5638" max="5638" width="4.7109375" style="36" customWidth="1"/>
    <col min="5639" max="5639" width="5" style="36" customWidth="1"/>
    <col min="5640" max="5640" width="4.7109375" style="36" customWidth="1"/>
    <col min="5641" max="5641" width="11.42578125" style="36" customWidth="1"/>
    <col min="5642" max="5642" width="4.7109375" style="36" customWidth="1"/>
    <col min="5643" max="5643" width="14.140625" style="36" customWidth="1"/>
    <col min="5644" max="5644" width="4.7109375" style="36" customWidth="1"/>
    <col min="5645" max="5645" width="11.42578125" style="36" customWidth="1"/>
    <col min="5646" max="5646" width="8.5703125" style="36" customWidth="1"/>
    <col min="5647" max="5648" width="0.42578125" style="36" customWidth="1"/>
    <col min="5649" max="5649" width="9.140625" style="36" customWidth="1"/>
    <col min="5650" max="5888" width="13.28515625" style="36"/>
    <col min="5889" max="5889" width="0.42578125" style="36" customWidth="1"/>
    <col min="5890" max="5890" width="6.85546875" style="36" customWidth="1"/>
    <col min="5891" max="5891" width="8.5703125" style="36" customWidth="1"/>
    <col min="5892" max="5892" width="4.7109375" style="36" customWidth="1"/>
    <col min="5893" max="5893" width="11.42578125" style="36" customWidth="1"/>
    <col min="5894" max="5894" width="4.7109375" style="36" customWidth="1"/>
    <col min="5895" max="5895" width="5" style="36" customWidth="1"/>
    <col min="5896" max="5896" width="4.7109375" style="36" customWidth="1"/>
    <col min="5897" max="5897" width="11.42578125" style="36" customWidth="1"/>
    <col min="5898" max="5898" width="4.7109375" style="36" customWidth="1"/>
    <col min="5899" max="5899" width="14.140625" style="36" customWidth="1"/>
    <col min="5900" max="5900" width="4.7109375" style="36" customWidth="1"/>
    <col min="5901" max="5901" width="11.42578125" style="36" customWidth="1"/>
    <col min="5902" max="5902" width="8.5703125" style="36" customWidth="1"/>
    <col min="5903" max="5904" width="0.42578125" style="36" customWidth="1"/>
    <col min="5905" max="5905" width="9.140625" style="36" customWidth="1"/>
    <col min="5906" max="6144" width="13.28515625" style="36"/>
    <col min="6145" max="6145" width="0.42578125" style="36" customWidth="1"/>
    <col min="6146" max="6146" width="6.85546875" style="36" customWidth="1"/>
    <col min="6147" max="6147" width="8.5703125" style="36" customWidth="1"/>
    <col min="6148" max="6148" width="4.7109375" style="36" customWidth="1"/>
    <col min="6149" max="6149" width="11.42578125" style="36" customWidth="1"/>
    <col min="6150" max="6150" width="4.7109375" style="36" customWidth="1"/>
    <col min="6151" max="6151" width="5" style="36" customWidth="1"/>
    <col min="6152" max="6152" width="4.7109375" style="36" customWidth="1"/>
    <col min="6153" max="6153" width="11.42578125" style="36" customWidth="1"/>
    <col min="6154" max="6154" width="4.7109375" style="36" customWidth="1"/>
    <col min="6155" max="6155" width="14.140625" style="36" customWidth="1"/>
    <col min="6156" max="6156" width="4.7109375" style="36" customWidth="1"/>
    <col min="6157" max="6157" width="11.42578125" style="36" customWidth="1"/>
    <col min="6158" max="6158" width="8.5703125" style="36" customWidth="1"/>
    <col min="6159" max="6160" width="0.42578125" style="36" customWidth="1"/>
    <col min="6161" max="6161" width="9.140625" style="36" customWidth="1"/>
    <col min="6162" max="6400" width="13.28515625" style="36"/>
    <col min="6401" max="6401" width="0.42578125" style="36" customWidth="1"/>
    <col min="6402" max="6402" width="6.85546875" style="36" customWidth="1"/>
    <col min="6403" max="6403" width="8.5703125" style="36" customWidth="1"/>
    <col min="6404" max="6404" width="4.7109375" style="36" customWidth="1"/>
    <col min="6405" max="6405" width="11.42578125" style="36" customWidth="1"/>
    <col min="6406" max="6406" width="4.7109375" style="36" customWidth="1"/>
    <col min="6407" max="6407" width="5" style="36" customWidth="1"/>
    <col min="6408" max="6408" width="4.7109375" style="36" customWidth="1"/>
    <col min="6409" max="6409" width="11.42578125" style="36" customWidth="1"/>
    <col min="6410" max="6410" width="4.7109375" style="36" customWidth="1"/>
    <col min="6411" max="6411" width="14.140625" style="36" customWidth="1"/>
    <col min="6412" max="6412" width="4.7109375" style="36" customWidth="1"/>
    <col min="6413" max="6413" width="11.42578125" style="36" customWidth="1"/>
    <col min="6414" max="6414" width="8.5703125" style="36" customWidth="1"/>
    <col min="6415" max="6416" width="0.42578125" style="36" customWidth="1"/>
    <col min="6417" max="6417" width="9.140625" style="36" customWidth="1"/>
    <col min="6418" max="6656" width="13.28515625" style="36"/>
    <col min="6657" max="6657" width="0.42578125" style="36" customWidth="1"/>
    <col min="6658" max="6658" width="6.85546875" style="36" customWidth="1"/>
    <col min="6659" max="6659" width="8.5703125" style="36" customWidth="1"/>
    <col min="6660" max="6660" width="4.7109375" style="36" customWidth="1"/>
    <col min="6661" max="6661" width="11.42578125" style="36" customWidth="1"/>
    <col min="6662" max="6662" width="4.7109375" style="36" customWidth="1"/>
    <col min="6663" max="6663" width="5" style="36" customWidth="1"/>
    <col min="6664" max="6664" width="4.7109375" style="36" customWidth="1"/>
    <col min="6665" max="6665" width="11.42578125" style="36" customWidth="1"/>
    <col min="6666" max="6666" width="4.7109375" style="36" customWidth="1"/>
    <col min="6667" max="6667" width="14.140625" style="36" customWidth="1"/>
    <col min="6668" max="6668" width="4.7109375" style="36" customWidth="1"/>
    <col min="6669" max="6669" width="11.42578125" style="36" customWidth="1"/>
    <col min="6670" max="6670" width="8.5703125" style="36" customWidth="1"/>
    <col min="6671" max="6672" width="0.42578125" style="36" customWidth="1"/>
    <col min="6673" max="6673" width="9.140625" style="36" customWidth="1"/>
    <col min="6674" max="6912" width="13.28515625" style="36"/>
    <col min="6913" max="6913" width="0.42578125" style="36" customWidth="1"/>
    <col min="6914" max="6914" width="6.85546875" style="36" customWidth="1"/>
    <col min="6915" max="6915" width="8.5703125" style="36" customWidth="1"/>
    <col min="6916" max="6916" width="4.7109375" style="36" customWidth="1"/>
    <col min="6917" max="6917" width="11.42578125" style="36" customWidth="1"/>
    <col min="6918" max="6918" width="4.7109375" style="36" customWidth="1"/>
    <col min="6919" max="6919" width="5" style="36" customWidth="1"/>
    <col min="6920" max="6920" width="4.7109375" style="36" customWidth="1"/>
    <col min="6921" max="6921" width="11.42578125" style="36" customWidth="1"/>
    <col min="6922" max="6922" width="4.7109375" style="36" customWidth="1"/>
    <col min="6923" max="6923" width="14.140625" style="36" customWidth="1"/>
    <col min="6924" max="6924" width="4.7109375" style="36" customWidth="1"/>
    <col min="6925" max="6925" width="11.42578125" style="36" customWidth="1"/>
    <col min="6926" max="6926" width="8.5703125" style="36" customWidth="1"/>
    <col min="6927" max="6928" width="0.42578125" style="36" customWidth="1"/>
    <col min="6929" max="6929" width="9.140625" style="36" customWidth="1"/>
    <col min="6930" max="7168" width="13.28515625" style="36"/>
    <col min="7169" max="7169" width="0.42578125" style="36" customWidth="1"/>
    <col min="7170" max="7170" width="6.85546875" style="36" customWidth="1"/>
    <col min="7171" max="7171" width="8.5703125" style="36" customWidth="1"/>
    <col min="7172" max="7172" width="4.7109375" style="36" customWidth="1"/>
    <col min="7173" max="7173" width="11.42578125" style="36" customWidth="1"/>
    <col min="7174" max="7174" width="4.7109375" style="36" customWidth="1"/>
    <col min="7175" max="7175" width="5" style="36" customWidth="1"/>
    <col min="7176" max="7176" width="4.7109375" style="36" customWidth="1"/>
    <col min="7177" max="7177" width="11.42578125" style="36" customWidth="1"/>
    <col min="7178" max="7178" width="4.7109375" style="36" customWidth="1"/>
    <col min="7179" max="7179" width="14.140625" style="36" customWidth="1"/>
    <col min="7180" max="7180" width="4.7109375" style="36" customWidth="1"/>
    <col min="7181" max="7181" width="11.42578125" style="36" customWidth="1"/>
    <col min="7182" max="7182" width="8.5703125" style="36" customWidth="1"/>
    <col min="7183" max="7184" width="0.42578125" style="36" customWidth="1"/>
    <col min="7185" max="7185" width="9.140625" style="36" customWidth="1"/>
    <col min="7186" max="7424" width="13.28515625" style="36"/>
    <col min="7425" max="7425" width="0.42578125" style="36" customWidth="1"/>
    <col min="7426" max="7426" width="6.85546875" style="36" customWidth="1"/>
    <col min="7427" max="7427" width="8.5703125" style="36" customWidth="1"/>
    <col min="7428" max="7428" width="4.7109375" style="36" customWidth="1"/>
    <col min="7429" max="7429" width="11.42578125" style="36" customWidth="1"/>
    <col min="7430" max="7430" width="4.7109375" style="36" customWidth="1"/>
    <col min="7431" max="7431" width="5" style="36" customWidth="1"/>
    <col min="7432" max="7432" width="4.7109375" style="36" customWidth="1"/>
    <col min="7433" max="7433" width="11.42578125" style="36" customWidth="1"/>
    <col min="7434" max="7434" width="4.7109375" style="36" customWidth="1"/>
    <col min="7435" max="7435" width="14.140625" style="36" customWidth="1"/>
    <col min="7436" max="7436" width="4.7109375" style="36" customWidth="1"/>
    <col min="7437" max="7437" width="11.42578125" style="36" customWidth="1"/>
    <col min="7438" max="7438" width="8.5703125" style="36" customWidth="1"/>
    <col min="7439" max="7440" width="0.42578125" style="36" customWidth="1"/>
    <col min="7441" max="7441" width="9.140625" style="36" customWidth="1"/>
    <col min="7442" max="7680" width="13.28515625" style="36"/>
    <col min="7681" max="7681" width="0.42578125" style="36" customWidth="1"/>
    <col min="7682" max="7682" width="6.85546875" style="36" customWidth="1"/>
    <col min="7683" max="7683" width="8.5703125" style="36" customWidth="1"/>
    <col min="7684" max="7684" width="4.7109375" style="36" customWidth="1"/>
    <col min="7685" max="7685" width="11.42578125" style="36" customWidth="1"/>
    <col min="7686" max="7686" width="4.7109375" style="36" customWidth="1"/>
    <col min="7687" max="7687" width="5" style="36" customWidth="1"/>
    <col min="7688" max="7688" width="4.7109375" style="36" customWidth="1"/>
    <col min="7689" max="7689" width="11.42578125" style="36" customWidth="1"/>
    <col min="7690" max="7690" width="4.7109375" style="36" customWidth="1"/>
    <col min="7691" max="7691" width="14.140625" style="36" customWidth="1"/>
    <col min="7692" max="7692" width="4.7109375" style="36" customWidth="1"/>
    <col min="7693" max="7693" width="11.42578125" style="36" customWidth="1"/>
    <col min="7694" max="7694" width="8.5703125" style="36" customWidth="1"/>
    <col min="7695" max="7696" width="0.42578125" style="36" customWidth="1"/>
    <col min="7697" max="7697" width="9.140625" style="36" customWidth="1"/>
    <col min="7698" max="7936" width="13.28515625" style="36"/>
    <col min="7937" max="7937" width="0.42578125" style="36" customWidth="1"/>
    <col min="7938" max="7938" width="6.85546875" style="36" customWidth="1"/>
    <col min="7939" max="7939" width="8.5703125" style="36" customWidth="1"/>
    <col min="7940" max="7940" width="4.7109375" style="36" customWidth="1"/>
    <col min="7941" max="7941" width="11.42578125" style="36" customWidth="1"/>
    <col min="7942" max="7942" width="4.7109375" style="36" customWidth="1"/>
    <col min="7943" max="7943" width="5" style="36" customWidth="1"/>
    <col min="7944" max="7944" width="4.7109375" style="36" customWidth="1"/>
    <col min="7945" max="7945" width="11.42578125" style="36" customWidth="1"/>
    <col min="7946" max="7946" width="4.7109375" style="36" customWidth="1"/>
    <col min="7947" max="7947" width="14.140625" style="36" customWidth="1"/>
    <col min="7948" max="7948" width="4.7109375" style="36" customWidth="1"/>
    <col min="7949" max="7949" width="11.42578125" style="36" customWidth="1"/>
    <col min="7950" max="7950" width="8.5703125" style="36" customWidth="1"/>
    <col min="7951" max="7952" width="0.42578125" style="36" customWidth="1"/>
    <col min="7953" max="7953" width="9.140625" style="36" customWidth="1"/>
    <col min="7954" max="8192" width="13.28515625" style="36"/>
    <col min="8193" max="8193" width="0.42578125" style="36" customWidth="1"/>
    <col min="8194" max="8194" width="6.85546875" style="36" customWidth="1"/>
    <col min="8195" max="8195" width="8.5703125" style="36" customWidth="1"/>
    <col min="8196" max="8196" width="4.7109375" style="36" customWidth="1"/>
    <col min="8197" max="8197" width="11.42578125" style="36" customWidth="1"/>
    <col min="8198" max="8198" width="4.7109375" style="36" customWidth="1"/>
    <col min="8199" max="8199" width="5" style="36" customWidth="1"/>
    <col min="8200" max="8200" width="4.7109375" style="36" customWidth="1"/>
    <col min="8201" max="8201" width="11.42578125" style="36" customWidth="1"/>
    <col min="8202" max="8202" width="4.7109375" style="36" customWidth="1"/>
    <col min="8203" max="8203" width="14.140625" style="36" customWidth="1"/>
    <col min="8204" max="8204" width="4.7109375" style="36" customWidth="1"/>
    <col min="8205" max="8205" width="11.42578125" style="36" customWidth="1"/>
    <col min="8206" max="8206" width="8.5703125" style="36" customWidth="1"/>
    <col min="8207" max="8208" width="0.42578125" style="36" customWidth="1"/>
    <col min="8209" max="8209" width="9.140625" style="36" customWidth="1"/>
    <col min="8210" max="8448" width="13.28515625" style="36"/>
    <col min="8449" max="8449" width="0.42578125" style="36" customWidth="1"/>
    <col min="8450" max="8450" width="6.85546875" style="36" customWidth="1"/>
    <col min="8451" max="8451" width="8.5703125" style="36" customWidth="1"/>
    <col min="8452" max="8452" width="4.7109375" style="36" customWidth="1"/>
    <col min="8453" max="8453" width="11.42578125" style="36" customWidth="1"/>
    <col min="8454" max="8454" width="4.7109375" style="36" customWidth="1"/>
    <col min="8455" max="8455" width="5" style="36" customWidth="1"/>
    <col min="8456" max="8456" width="4.7109375" style="36" customWidth="1"/>
    <col min="8457" max="8457" width="11.42578125" style="36" customWidth="1"/>
    <col min="8458" max="8458" width="4.7109375" style="36" customWidth="1"/>
    <col min="8459" max="8459" width="14.140625" style="36" customWidth="1"/>
    <col min="8460" max="8460" width="4.7109375" style="36" customWidth="1"/>
    <col min="8461" max="8461" width="11.42578125" style="36" customWidth="1"/>
    <col min="8462" max="8462" width="8.5703125" style="36" customWidth="1"/>
    <col min="8463" max="8464" width="0.42578125" style="36" customWidth="1"/>
    <col min="8465" max="8465" width="9.140625" style="36" customWidth="1"/>
    <col min="8466" max="8704" width="13.28515625" style="36"/>
    <col min="8705" max="8705" width="0.42578125" style="36" customWidth="1"/>
    <col min="8706" max="8706" width="6.85546875" style="36" customWidth="1"/>
    <col min="8707" max="8707" width="8.5703125" style="36" customWidth="1"/>
    <col min="8708" max="8708" width="4.7109375" style="36" customWidth="1"/>
    <col min="8709" max="8709" width="11.42578125" style="36" customWidth="1"/>
    <col min="8710" max="8710" width="4.7109375" style="36" customWidth="1"/>
    <col min="8711" max="8711" width="5" style="36" customWidth="1"/>
    <col min="8712" max="8712" width="4.7109375" style="36" customWidth="1"/>
    <col min="8713" max="8713" width="11.42578125" style="36" customWidth="1"/>
    <col min="8714" max="8714" width="4.7109375" style="36" customWidth="1"/>
    <col min="8715" max="8715" width="14.140625" style="36" customWidth="1"/>
    <col min="8716" max="8716" width="4.7109375" style="36" customWidth="1"/>
    <col min="8717" max="8717" width="11.42578125" style="36" customWidth="1"/>
    <col min="8718" max="8718" width="8.5703125" style="36" customWidth="1"/>
    <col min="8719" max="8720" width="0.42578125" style="36" customWidth="1"/>
    <col min="8721" max="8721" width="9.140625" style="36" customWidth="1"/>
    <col min="8722" max="8960" width="13.28515625" style="36"/>
    <col min="8961" max="8961" width="0.42578125" style="36" customWidth="1"/>
    <col min="8962" max="8962" width="6.85546875" style="36" customWidth="1"/>
    <col min="8963" max="8963" width="8.5703125" style="36" customWidth="1"/>
    <col min="8964" max="8964" width="4.7109375" style="36" customWidth="1"/>
    <col min="8965" max="8965" width="11.42578125" style="36" customWidth="1"/>
    <col min="8966" max="8966" width="4.7109375" style="36" customWidth="1"/>
    <col min="8967" max="8967" width="5" style="36" customWidth="1"/>
    <col min="8968" max="8968" width="4.7109375" style="36" customWidth="1"/>
    <col min="8969" max="8969" width="11.42578125" style="36" customWidth="1"/>
    <col min="8970" max="8970" width="4.7109375" style="36" customWidth="1"/>
    <col min="8971" max="8971" width="14.140625" style="36" customWidth="1"/>
    <col min="8972" max="8972" width="4.7109375" style="36" customWidth="1"/>
    <col min="8973" max="8973" width="11.42578125" style="36" customWidth="1"/>
    <col min="8974" max="8974" width="8.5703125" style="36" customWidth="1"/>
    <col min="8975" max="8976" width="0.42578125" style="36" customWidth="1"/>
    <col min="8977" max="8977" width="9.140625" style="36" customWidth="1"/>
    <col min="8978" max="9216" width="13.28515625" style="36"/>
    <col min="9217" max="9217" width="0.42578125" style="36" customWidth="1"/>
    <col min="9218" max="9218" width="6.85546875" style="36" customWidth="1"/>
    <col min="9219" max="9219" width="8.5703125" style="36" customWidth="1"/>
    <col min="9220" max="9220" width="4.7109375" style="36" customWidth="1"/>
    <col min="9221" max="9221" width="11.42578125" style="36" customWidth="1"/>
    <col min="9222" max="9222" width="4.7109375" style="36" customWidth="1"/>
    <col min="9223" max="9223" width="5" style="36" customWidth="1"/>
    <col min="9224" max="9224" width="4.7109375" style="36" customWidth="1"/>
    <col min="9225" max="9225" width="11.42578125" style="36" customWidth="1"/>
    <col min="9226" max="9226" width="4.7109375" style="36" customWidth="1"/>
    <col min="9227" max="9227" width="14.140625" style="36" customWidth="1"/>
    <col min="9228" max="9228" width="4.7109375" style="36" customWidth="1"/>
    <col min="9229" max="9229" width="11.42578125" style="36" customWidth="1"/>
    <col min="9230" max="9230" width="8.5703125" style="36" customWidth="1"/>
    <col min="9231" max="9232" width="0.42578125" style="36" customWidth="1"/>
    <col min="9233" max="9233" width="9.140625" style="36" customWidth="1"/>
    <col min="9234" max="9472" width="13.28515625" style="36"/>
    <col min="9473" max="9473" width="0.42578125" style="36" customWidth="1"/>
    <col min="9474" max="9474" width="6.85546875" style="36" customWidth="1"/>
    <col min="9475" max="9475" width="8.5703125" style="36" customWidth="1"/>
    <col min="9476" max="9476" width="4.7109375" style="36" customWidth="1"/>
    <col min="9477" max="9477" width="11.42578125" style="36" customWidth="1"/>
    <col min="9478" max="9478" width="4.7109375" style="36" customWidth="1"/>
    <col min="9479" max="9479" width="5" style="36" customWidth="1"/>
    <col min="9480" max="9480" width="4.7109375" style="36" customWidth="1"/>
    <col min="9481" max="9481" width="11.42578125" style="36" customWidth="1"/>
    <col min="9482" max="9482" width="4.7109375" style="36" customWidth="1"/>
    <col min="9483" max="9483" width="14.140625" style="36" customWidth="1"/>
    <col min="9484" max="9484" width="4.7109375" style="36" customWidth="1"/>
    <col min="9485" max="9485" width="11.42578125" style="36" customWidth="1"/>
    <col min="9486" max="9486" width="8.5703125" style="36" customWidth="1"/>
    <col min="9487" max="9488" width="0.42578125" style="36" customWidth="1"/>
    <col min="9489" max="9489" width="9.140625" style="36" customWidth="1"/>
    <col min="9490" max="9728" width="13.28515625" style="36"/>
    <col min="9729" max="9729" width="0.42578125" style="36" customWidth="1"/>
    <col min="9730" max="9730" width="6.85546875" style="36" customWidth="1"/>
    <col min="9731" max="9731" width="8.5703125" style="36" customWidth="1"/>
    <col min="9732" max="9732" width="4.7109375" style="36" customWidth="1"/>
    <col min="9733" max="9733" width="11.42578125" style="36" customWidth="1"/>
    <col min="9734" max="9734" width="4.7109375" style="36" customWidth="1"/>
    <col min="9735" max="9735" width="5" style="36" customWidth="1"/>
    <col min="9736" max="9736" width="4.7109375" style="36" customWidth="1"/>
    <col min="9737" max="9737" width="11.42578125" style="36" customWidth="1"/>
    <col min="9738" max="9738" width="4.7109375" style="36" customWidth="1"/>
    <col min="9739" max="9739" width="14.140625" style="36" customWidth="1"/>
    <col min="9740" max="9740" width="4.7109375" style="36" customWidth="1"/>
    <col min="9741" max="9741" width="11.42578125" style="36" customWidth="1"/>
    <col min="9742" max="9742" width="8.5703125" style="36" customWidth="1"/>
    <col min="9743" max="9744" width="0.42578125" style="36" customWidth="1"/>
    <col min="9745" max="9745" width="9.140625" style="36" customWidth="1"/>
    <col min="9746" max="9984" width="13.28515625" style="36"/>
    <col min="9985" max="9985" width="0.42578125" style="36" customWidth="1"/>
    <col min="9986" max="9986" width="6.85546875" style="36" customWidth="1"/>
    <col min="9987" max="9987" width="8.5703125" style="36" customWidth="1"/>
    <col min="9988" max="9988" width="4.7109375" style="36" customWidth="1"/>
    <col min="9989" max="9989" width="11.42578125" style="36" customWidth="1"/>
    <col min="9990" max="9990" width="4.7109375" style="36" customWidth="1"/>
    <col min="9991" max="9991" width="5" style="36" customWidth="1"/>
    <col min="9992" max="9992" width="4.7109375" style="36" customWidth="1"/>
    <col min="9993" max="9993" width="11.42578125" style="36" customWidth="1"/>
    <col min="9994" max="9994" width="4.7109375" style="36" customWidth="1"/>
    <col min="9995" max="9995" width="14.140625" style="36" customWidth="1"/>
    <col min="9996" max="9996" width="4.7109375" style="36" customWidth="1"/>
    <col min="9997" max="9997" width="11.42578125" style="36" customWidth="1"/>
    <col min="9998" max="9998" width="8.5703125" style="36" customWidth="1"/>
    <col min="9999" max="10000" width="0.42578125" style="36" customWidth="1"/>
    <col min="10001" max="10001" width="9.140625" style="36" customWidth="1"/>
    <col min="10002" max="10240" width="13.28515625" style="36"/>
    <col min="10241" max="10241" width="0.42578125" style="36" customWidth="1"/>
    <col min="10242" max="10242" width="6.85546875" style="36" customWidth="1"/>
    <col min="10243" max="10243" width="8.5703125" style="36" customWidth="1"/>
    <col min="10244" max="10244" width="4.7109375" style="36" customWidth="1"/>
    <col min="10245" max="10245" width="11.42578125" style="36" customWidth="1"/>
    <col min="10246" max="10246" width="4.7109375" style="36" customWidth="1"/>
    <col min="10247" max="10247" width="5" style="36" customWidth="1"/>
    <col min="10248" max="10248" width="4.7109375" style="36" customWidth="1"/>
    <col min="10249" max="10249" width="11.42578125" style="36" customWidth="1"/>
    <col min="10250" max="10250" width="4.7109375" style="36" customWidth="1"/>
    <col min="10251" max="10251" width="14.140625" style="36" customWidth="1"/>
    <col min="10252" max="10252" width="4.7109375" style="36" customWidth="1"/>
    <col min="10253" max="10253" width="11.42578125" style="36" customWidth="1"/>
    <col min="10254" max="10254" width="8.5703125" style="36" customWidth="1"/>
    <col min="10255" max="10256" width="0.42578125" style="36" customWidth="1"/>
    <col min="10257" max="10257" width="9.140625" style="36" customWidth="1"/>
    <col min="10258" max="10496" width="13.28515625" style="36"/>
    <col min="10497" max="10497" width="0.42578125" style="36" customWidth="1"/>
    <col min="10498" max="10498" width="6.85546875" style="36" customWidth="1"/>
    <col min="10499" max="10499" width="8.5703125" style="36" customWidth="1"/>
    <col min="10500" max="10500" width="4.7109375" style="36" customWidth="1"/>
    <col min="10501" max="10501" width="11.42578125" style="36" customWidth="1"/>
    <col min="10502" max="10502" width="4.7109375" style="36" customWidth="1"/>
    <col min="10503" max="10503" width="5" style="36" customWidth="1"/>
    <col min="10504" max="10504" width="4.7109375" style="36" customWidth="1"/>
    <col min="10505" max="10505" width="11.42578125" style="36" customWidth="1"/>
    <col min="10506" max="10506" width="4.7109375" style="36" customWidth="1"/>
    <col min="10507" max="10507" width="14.140625" style="36" customWidth="1"/>
    <col min="10508" max="10508" width="4.7109375" style="36" customWidth="1"/>
    <col min="10509" max="10509" width="11.42578125" style="36" customWidth="1"/>
    <col min="10510" max="10510" width="8.5703125" style="36" customWidth="1"/>
    <col min="10511" max="10512" width="0.42578125" style="36" customWidth="1"/>
    <col min="10513" max="10513" width="9.140625" style="36" customWidth="1"/>
    <col min="10514" max="10752" width="13.28515625" style="36"/>
    <col min="10753" max="10753" width="0.42578125" style="36" customWidth="1"/>
    <col min="10754" max="10754" width="6.85546875" style="36" customWidth="1"/>
    <col min="10755" max="10755" width="8.5703125" style="36" customWidth="1"/>
    <col min="10756" max="10756" width="4.7109375" style="36" customWidth="1"/>
    <col min="10757" max="10757" width="11.42578125" style="36" customWidth="1"/>
    <col min="10758" max="10758" width="4.7109375" style="36" customWidth="1"/>
    <col min="10759" max="10759" width="5" style="36" customWidth="1"/>
    <col min="10760" max="10760" width="4.7109375" style="36" customWidth="1"/>
    <col min="10761" max="10761" width="11.42578125" style="36" customWidth="1"/>
    <col min="10762" max="10762" width="4.7109375" style="36" customWidth="1"/>
    <col min="10763" max="10763" width="14.140625" style="36" customWidth="1"/>
    <col min="10764" max="10764" width="4.7109375" style="36" customWidth="1"/>
    <col min="10765" max="10765" width="11.42578125" style="36" customWidth="1"/>
    <col min="10766" max="10766" width="8.5703125" style="36" customWidth="1"/>
    <col min="10767" max="10768" width="0.42578125" style="36" customWidth="1"/>
    <col min="10769" max="10769" width="9.140625" style="36" customWidth="1"/>
    <col min="10770" max="11008" width="13.28515625" style="36"/>
    <col min="11009" max="11009" width="0.42578125" style="36" customWidth="1"/>
    <col min="11010" max="11010" width="6.85546875" style="36" customWidth="1"/>
    <col min="11011" max="11011" width="8.5703125" style="36" customWidth="1"/>
    <col min="11012" max="11012" width="4.7109375" style="36" customWidth="1"/>
    <col min="11013" max="11013" width="11.42578125" style="36" customWidth="1"/>
    <col min="11014" max="11014" width="4.7109375" style="36" customWidth="1"/>
    <col min="11015" max="11015" width="5" style="36" customWidth="1"/>
    <col min="11016" max="11016" width="4.7109375" style="36" customWidth="1"/>
    <col min="11017" max="11017" width="11.42578125" style="36" customWidth="1"/>
    <col min="11018" max="11018" width="4.7109375" style="36" customWidth="1"/>
    <col min="11019" max="11019" width="14.140625" style="36" customWidth="1"/>
    <col min="11020" max="11020" width="4.7109375" style="36" customWidth="1"/>
    <col min="11021" max="11021" width="11.42578125" style="36" customWidth="1"/>
    <col min="11022" max="11022" width="8.5703125" style="36" customWidth="1"/>
    <col min="11023" max="11024" width="0.42578125" style="36" customWidth="1"/>
    <col min="11025" max="11025" width="9.140625" style="36" customWidth="1"/>
    <col min="11026" max="11264" width="13.28515625" style="36"/>
    <col min="11265" max="11265" width="0.42578125" style="36" customWidth="1"/>
    <col min="11266" max="11266" width="6.85546875" style="36" customWidth="1"/>
    <col min="11267" max="11267" width="8.5703125" style="36" customWidth="1"/>
    <col min="11268" max="11268" width="4.7109375" style="36" customWidth="1"/>
    <col min="11269" max="11269" width="11.42578125" style="36" customWidth="1"/>
    <col min="11270" max="11270" width="4.7109375" style="36" customWidth="1"/>
    <col min="11271" max="11271" width="5" style="36" customWidth="1"/>
    <col min="11272" max="11272" width="4.7109375" style="36" customWidth="1"/>
    <col min="11273" max="11273" width="11.42578125" style="36" customWidth="1"/>
    <col min="11274" max="11274" width="4.7109375" style="36" customWidth="1"/>
    <col min="11275" max="11275" width="14.140625" style="36" customWidth="1"/>
    <col min="11276" max="11276" width="4.7109375" style="36" customWidth="1"/>
    <col min="11277" max="11277" width="11.42578125" style="36" customWidth="1"/>
    <col min="11278" max="11278" width="8.5703125" style="36" customWidth="1"/>
    <col min="11279" max="11280" width="0.42578125" style="36" customWidth="1"/>
    <col min="11281" max="11281" width="9.140625" style="36" customWidth="1"/>
    <col min="11282" max="11520" width="13.28515625" style="36"/>
    <col min="11521" max="11521" width="0.42578125" style="36" customWidth="1"/>
    <col min="11522" max="11522" width="6.85546875" style="36" customWidth="1"/>
    <col min="11523" max="11523" width="8.5703125" style="36" customWidth="1"/>
    <col min="11524" max="11524" width="4.7109375" style="36" customWidth="1"/>
    <col min="11525" max="11525" width="11.42578125" style="36" customWidth="1"/>
    <col min="11526" max="11526" width="4.7109375" style="36" customWidth="1"/>
    <col min="11527" max="11527" width="5" style="36" customWidth="1"/>
    <col min="11528" max="11528" width="4.7109375" style="36" customWidth="1"/>
    <col min="11529" max="11529" width="11.42578125" style="36" customWidth="1"/>
    <col min="11530" max="11530" width="4.7109375" style="36" customWidth="1"/>
    <col min="11531" max="11531" width="14.140625" style="36" customWidth="1"/>
    <col min="11532" max="11532" width="4.7109375" style="36" customWidth="1"/>
    <col min="11533" max="11533" width="11.42578125" style="36" customWidth="1"/>
    <col min="11534" max="11534" width="8.5703125" style="36" customWidth="1"/>
    <col min="11535" max="11536" width="0.42578125" style="36" customWidth="1"/>
    <col min="11537" max="11537" width="9.140625" style="36" customWidth="1"/>
    <col min="11538" max="11776" width="13.28515625" style="36"/>
    <col min="11777" max="11777" width="0.42578125" style="36" customWidth="1"/>
    <col min="11778" max="11778" width="6.85546875" style="36" customWidth="1"/>
    <col min="11779" max="11779" width="8.5703125" style="36" customWidth="1"/>
    <col min="11780" max="11780" width="4.7109375" style="36" customWidth="1"/>
    <col min="11781" max="11781" width="11.42578125" style="36" customWidth="1"/>
    <col min="11782" max="11782" width="4.7109375" style="36" customWidth="1"/>
    <col min="11783" max="11783" width="5" style="36" customWidth="1"/>
    <col min="11784" max="11784" width="4.7109375" style="36" customWidth="1"/>
    <col min="11785" max="11785" width="11.42578125" style="36" customWidth="1"/>
    <col min="11786" max="11786" width="4.7109375" style="36" customWidth="1"/>
    <col min="11787" max="11787" width="14.140625" style="36" customWidth="1"/>
    <col min="11788" max="11788" width="4.7109375" style="36" customWidth="1"/>
    <col min="11789" max="11789" width="11.42578125" style="36" customWidth="1"/>
    <col min="11790" max="11790" width="8.5703125" style="36" customWidth="1"/>
    <col min="11791" max="11792" width="0.42578125" style="36" customWidth="1"/>
    <col min="11793" max="11793" width="9.140625" style="36" customWidth="1"/>
    <col min="11794" max="12032" width="13.28515625" style="36"/>
    <col min="12033" max="12033" width="0.42578125" style="36" customWidth="1"/>
    <col min="12034" max="12034" width="6.85546875" style="36" customWidth="1"/>
    <col min="12035" max="12035" width="8.5703125" style="36" customWidth="1"/>
    <col min="12036" max="12036" width="4.7109375" style="36" customWidth="1"/>
    <col min="12037" max="12037" width="11.42578125" style="36" customWidth="1"/>
    <col min="12038" max="12038" width="4.7109375" style="36" customWidth="1"/>
    <col min="12039" max="12039" width="5" style="36" customWidth="1"/>
    <col min="12040" max="12040" width="4.7109375" style="36" customWidth="1"/>
    <col min="12041" max="12041" width="11.42578125" style="36" customWidth="1"/>
    <col min="12042" max="12042" width="4.7109375" style="36" customWidth="1"/>
    <col min="12043" max="12043" width="14.140625" style="36" customWidth="1"/>
    <col min="12044" max="12044" width="4.7109375" style="36" customWidth="1"/>
    <col min="12045" max="12045" width="11.42578125" style="36" customWidth="1"/>
    <col min="12046" max="12046" width="8.5703125" style="36" customWidth="1"/>
    <col min="12047" max="12048" width="0.42578125" style="36" customWidth="1"/>
    <col min="12049" max="12049" width="9.140625" style="36" customWidth="1"/>
    <col min="12050" max="12288" width="13.28515625" style="36"/>
    <col min="12289" max="12289" width="0.42578125" style="36" customWidth="1"/>
    <col min="12290" max="12290" width="6.85546875" style="36" customWidth="1"/>
    <col min="12291" max="12291" width="8.5703125" style="36" customWidth="1"/>
    <col min="12292" max="12292" width="4.7109375" style="36" customWidth="1"/>
    <col min="12293" max="12293" width="11.42578125" style="36" customWidth="1"/>
    <col min="12294" max="12294" width="4.7109375" style="36" customWidth="1"/>
    <col min="12295" max="12295" width="5" style="36" customWidth="1"/>
    <col min="12296" max="12296" width="4.7109375" style="36" customWidth="1"/>
    <col min="12297" max="12297" width="11.42578125" style="36" customWidth="1"/>
    <col min="12298" max="12298" width="4.7109375" style="36" customWidth="1"/>
    <col min="12299" max="12299" width="14.140625" style="36" customWidth="1"/>
    <col min="12300" max="12300" width="4.7109375" style="36" customWidth="1"/>
    <col min="12301" max="12301" width="11.42578125" style="36" customWidth="1"/>
    <col min="12302" max="12302" width="8.5703125" style="36" customWidth="1"/>
    <col min="12303" max="12304" width="0.42578125" style="36" customWidth="1"/>
    <col min="12305" max="12305" width="9.140625" style="36" customWidth="1"/>
    <col min="12306" max="12544" width="13.28515625" style="36"/>
    <col min="12545" max="12545" width="0.42578125" style="36" customWidth="1"/>
    <col min="12546" max="12546" width="6.85546875" style="36" customWidth="1"/>
    <col min="12547" max="12547" width="8.5703125" style="36" customWidth="1"/>
    <col min="12548" max="12548" width="4.7109375" style="36" customWidth="1"/>
    <col min="12549" max="12549" width="11.42578125" style="36" customWidth="1"/>
    <col min="12550" max="12550" width="4.7109375" style="36" customWidth="1"/>
    <col min="12551" max="12551" width="5" style="36" customWidth="1"/>
    <col min="12552" max="12552" width="4.7109375" style="36" customWidth="1"/>
    <col min="12553" max="12553" width="11.42578125" style="36" customWidth="1"/>
    <col min="12554" max="12554" width="4.7109375" style="36" customWidth="1"/>
    <col min="12555" max="12555" width="14.140625" style="36" customWidth="1"/>
    <col min="12556" max="12556" width="4.7109375" style="36" customWidth="1"/>
    <col min="12557" max="12557" width="11.42578125" style="36" customWidth="1"/>
    <col min="12558" max="12558" width="8.5703125" style="36" customWidth="1"/>
    <col min="12559" max="12560" width="0.42578125" style="36" customWidth="1"/>
    <col min="12561" max="12561" width="9.140625" style="36" customWidth="1"/>
    <col min="12562" max="12800" width="13.28515625" style="36"/>
    <col min="12801" max="12801" width="0.42578125" style="36" customWidth="1"/>
    <col min="12802" max="12802" width="6.85546875" style="36" customWidth="1"/>
    <col min="12803" max="12803" width="8.5703125" style="36" customWidth="1"/>
    <col min="12804" max="12804" width="4.7109375" style="36" customWidth="1"/>
    <col min="12805" max="12805" width="11.42578125" style="36" customWidth="1"/>
    <col min="12806" max="12806" width="4.7109375" style="36" customWidth="1"/>
    <col min="12807" max="12807" width="5" style="36" customWidth="1"/>
    <col min="12808" max="12808" width="4.7109375" style="36" customWidth="1"/>
    <col min="12809" max="12809" width="11.42578125" style="36" customWidth="1"/>
    <col min="12810" max="12810" width="4.7109375" style="36" customWidth="1"/>
    <col min="12811" max="12811" width="14.140625" style="36" customWidth="1"/>
    <col min="12812" max="12812" width="4.7109375" style="36" customWidth="1"/>
    <col min="12813" max="12813" width="11.42578125" style="36" customWidth="1"/>
    <col min="12814" max="12814" width="8.5703125" style="36" customWidth="1"/>
    <col min="12815" max="12816" width="0.42578125" style="36" customWidth="1"/>
    <col min="12817" max="12817" width="9.140625" style="36" customWidth="1"/>
    <col min="12818" max="13056" width="13.28515625" style="36"/>
    <col min="13057" max="13057" width="0.42578125" style="36" customWidth="1"/>
    <col min="13058" max="13058" width="6.85546875" style="36" customWidth="1"/>
    <col min="13059" max="13059" width="8.5703125" style="36" customWidth="1"/>
    <col min="13060" max="13060" width="4.7109375" style="36" customWidth="1"/>
    <col min="13061" max="13061" width="11.42578125" style="36" customWidth="1"/>
    <col min="13062" max="13062" width="4.7109375" style="36" customWidth="1"/>
    <col min="13063" max="13063" width="5" style="36" customWidth="1"/>
    <col min="13064" max="13064" width="4.7109375" style="36" customWidth="1"/>
    <col min="13065" max="13065" width="11.42578125" style="36" customWidth="1"/>
    <col min="13066" max="13066" width="4.7109375" style="36" customWidth="1"/>
    <col min="13067" max="13067" width="14.140625" style="36" customWidth="1"/>
    <col min="13068" max="13068" width="4.7109375" style="36" customWidth="1"/>
    <col min="13069" max="13069" width="11.42578125" style="36" customWidth="1"/>
    <col min="13070" max="13070" width="8.5703125" style="36" customWidth="1"/>
    <col min="13071" max="13072" width="0.42578125" style="36" customWidth="1"/>
    <col min="13073" max="13073" width="9.140625" style="36" customWidth="1"/>
    <col min="13074" max="13312" width="13.28515625" style="36"/>
    <col min="13313" max="13313" width="0.42578125" style="36" customWidth="1"/>
    <col min="13314" max="13314" width="6.85546875" style="36" customWidth="1"/>
    <col min="13315" max="13315" width="8.5703125" style="36" customWidth="1"/>
    <col min="13316" max="13316" width="4.7109375" style="36" customWidth="1"/>
    <col min="13317" max="13317" width="11.42578125" style="36" customWidth="1"/>
    <col min="13318" max="13318" width="4.7109375" style="36" customWidth="1"/>
    <col min="13319" max="13319" width="5" style="36" customWidth="1"/>
    <col min="13320" max="13320" width="4.7109375" style="36" customWidth="1"/>
    <col min="13321" max="13321" width="11.42578125" style="36" customWidth="1"/>
    <col min="13322" max="13322" width="4.7109375" style="36" customWidth="1"/>
    <col min="13323" max="13323" width="14.140625" style="36" customWidth="1"/>
    <col min="13324" max="13324" width="4.7109375" style="36" customWidth="1"/>
    <col min="13325" max="13325" width="11.42578125" style="36" customWidth="1"/>
    <col min="13326" max="13326" width="8.5703125" style="36" customWidth="1"/>
    <col min="13327" max="13328" width="0.42578125" style="36" customWidth="1"/>
    <col min="13329" max="13329" width="9.140625" style="36" customWidth="1"/>
    <col min="13330" max="13568" width="13.28515625" style="36"/>
    <col min="13569" max="13569" width="0.42578125" style="36" customWidth="1"/>
    <col min="13570" max="13570" width="6.85546875" style="36" customWidth="1"/>
    <col min="13571" max="13571" width="8.5703125" style="36" customWidth="1"/>
    <col min="13572" max="13572" width="4.7109375" style="36" customWidth="1"/>
    <col min="13573" max="13573" width="11.42578125" style="36" customWidth="1"/>
    <col min="13574" max="13574" width="4.7109375" style="36" customWidth="1"/>
    <col min="13575" max="13575" width="5" style="36" customWidth="1"/>
    <col min="13576" max="13576" width="4.7109375" style="36" customWidth="1"/>
    <col min="13577" max="13577" width="11.42578125" style="36" customWidth="1"/>
    <col min="13578" max="13578" width="4.7109375" style="36" customWidth="1"/>
    <col min="13579" max="13579" width="14.140625" style="36" customWidth="1"/>
    <col min="13580" max="13580" width="4.7109375" style="36" customWidth="1"/>
    <col min="13581" max="13581" width="11.42578125" style="36" customWidth="1"/>
    <col min="13582" max="13582" width="8.5703125" style="36" customWidth="1"/>
    <col min="13583" max="13584" width="0.42578125" style="36" customWidth="1"/>
    <col min="13585" max="13585" width="9.140625" style="36" customWidth="1"/>
    <col min="13586" max="13824" width="13.28515625" style="36"/>
    <col min="13825" max="13825" width="0.42578125" style="36" customWidth="1"/>
    <col min="13826" max="13826" width="6.85546875" style="36" customWidth="1"/>
    <col min="13827" max="13827" width="8.5703125" style="36" customWidth="1"/>
    <col min="13828" max="13828" width="4.7109375" style="36" customWidth="1"/>
    <col min="13829" max="13829" width="11.42578125" style="36" customWidth="1"/>
    <col min="13830" max="13830" width="4.7109375" style="36" customWidth="1"/>
    <col min="13831" max="13831" width="5" style="36" customWidth="1"/>
    <col min="13832" max="13832" width="4.7109375" style="36" customWidth="1"/>
    <col min="13833" max="13833" width="11.42578125" style="36" customWidth="1"/>
    <col min="13834" max="13834" width="4.7109375" style="36" customWidth="1"/>
    <col min="13835" max="13835" width="14.140625" style="36" customWidth="1"/>
    <col min="13836" max="13836" width="4.7109375" style="36" customWidth="1"/>
    <col min="13837" max="13837" width="11.42578125" style="36" customWidth="1"/>
    <col min="13838" max="13838" width="8.5703125" style="36" customWidth="1"/>
    <col min="13839" max="13840" width="0.42578125" style="36" customWidth="1"/>
    <col min="13841" max="13841" width="9.140625" style="36" customWidth="1"/>
    <col min="13842" max="14080" width="13.28515625" style="36"/>
    <col min="14081" max="14081" width="0.42578125" style="36" customWidth="1"/>
    <col min="14082" max="14082" width="6.85546875" style="36" customWidth="1"/>
    <col min="14083" max="14083" width="8.5703125" style="36" customWidth="1"/>
    <col min="14084" max="14084" width="4.7109375" style="36" customWidth="1"/>
    <col min="14085" max="14085" width="11.42578125" style="36" customWidth="1"/>
    <col min="14086" max="14086" width="4.7109375" style="36" customWidth="1"/>
    <col min="14087" max="14087" width="5" style="36" customWidth="1"/>
    <col min="14088" max="14088" width="4.7109375" style="36" customWidth="1"/>
    <col min="14089" max="14089" width="11.42578125" style="36" customWidth="1"/>
    <col min="14090" max="14090" width="4.7109375" style="36" customWidth="1"/>
    <col min="14091" max="14091" width="14.140625" style="36" customWidth="1"/>
    <col min="14092" max="14092" width="4.7109375" style="36" customWidth="1"/>
    <col min="14093" max="14093" width="11.42578125" style="36" customWidth="1"/>
    <col min="14094" max="14094" width="8.5703125" style="36" customWidth="1"/>
    <col min="14095" max="14096" width="0.42578125" style="36" customWidth="1"/>
    <col min="14097" max="14097" width="9.140625" style="36" customWidth="1"/>
    <col min="14098" max="14336" width="13.28515625" style="36"/>
    <col min="14337" max="14337" width="0.42578125" style="36" customWidth="1"/>
    <col min="14338" max="14338" width="6.85546875" style="36" customWidth="1"/>
    <col min="14339" max="14339" width="8.5703125" style="36" customWidth="1"/>
    <col min="14340" max="14340" width="4.7109375" style="36" customWidth="1"/>
    <col min="14341" max="14341" width="11.42578125" style="36" customWidth="1"/>
    <col min="14342" max="14342" width="4.7109375" style="36" customWidth="1"/>
    <col min="14343" max="14343" width="5" style="36" customWidth="1"/>
    <col min="14344" max="14344" width="4.7109375" style="36" customWidth="1"/>
    <col min="14345" max="14345" width="11.42578125" style="36" customWidth="1"/>
    <col min="14346" max="14346" width="4.7109375" style="36" customWidth="1"/>
    <col min="14347" max="14347" width="14.140625" style="36" customWidth="1"/>
    <col min="14348" max="14348" width="4.7109375" style="36" customWidth="1"/>
    <col min="14349" max="14349" width="11.42578125" style="36" customWidth="1"/>
    <col min="14350" max="14350" width="8.5703125" style="36" customWidth="1"/>
    <col min="14351" max="14352" width="0.42578125" style="36" customWidth="1"/>
    <col min="14353" max="14353" width="9.140625" style="36" customWidth="1"/>
    <col min="14354" max="14592" width="13.28515625" style="36"/>
    <col min="14593" max="14593" width="0.42578125" style="36" customWidth="1"/>
    <col min="14594" max="14594" width="6.85546875" style="36" customWidth="1"/>
    <col min="14595" max="14595" width="8.5703125" style="36" customWidth="1"/>
    <col min="14596" max="14596" width="4.7109375" style="36" customWidth="1"/>
    <col min="14597" max="14597" width="11.42578125" style="36" customWidth="1"/>
    <col min="14598" max="14598" width="4.7109375" style="36" customWidth="1"/>
    <col min="14599" max="14599" width="5" style="36" customWidth="1"/>
    <col min="14600" max="14600" width="4.7109375" style="36" customWidth="1"/>
    <col min="14601" max="14601" width="11.42578125" style="36" customWidth="1"/>
    <col min="14602" max="14602" width="4.7109375" style="36" customWidth="1"/>
    <col min="14603" max="14603" width="14.140625" style="36" customWidth="1"/>
    <col min="14604" max="14604" width="4.7109375" style="36" customWidth="1"/>
    <col min="14605" max="14605" width="11.42578125" style="36" customWidth="1"/>
    <col min="14606" max="14606" width="8.5703125" style="36" customWidth="1"/>
    <col min="14607" max="14608" width="0.42578125" style="36" customWidth="1"/>
    <col min="14609" max="14609" width="9.140625" style="36" customWidth="1"/>
    <col min="14610" max="14848" width="13.28515625" style="36"/>
    <col min="14849" max="14849" width="0.42578125" style="36" customWidth="1"/>
    <col min="14850" max="14850" width="6.85546875" style="36" customWidth="1"/>
    <col min="14851" max="14851" width="8.5703125" style="36" customWidth="1"/>
    <col min="14852" max="14852" width="4.7109375" style="36" customWidth="1"/>
    <col min="14853" max="14853" width="11.42578125" style="36" customWidth="1"/>
    <col min="14854" max="14854" width="4.7109375" style="36" customWidth="1"/>
    <col min="14855" max="14855" width="5" style="36" customWidth="1"/>
    <col min="14856" max="14856" width="4.7109375" style="36" customWidth="1"/>
    <col min="14857" max="14857" width="11.42578125" style="36" customWidth="1"/>
    <col min="14858" max="14858" width="4.7109375" style="36" customWidth="1"/>
    <col min="14859" max="14859" width="14.140625" style="36" customWidth="1"/>
    <col min="14860" max="14860" width="4.7109375" style="36" customWidth="1"/>
    <col min="14861" max="14861" width="11.42578125" style="36" customWidth="1"/>
    <col min="14862" max="14862" width="8.5703125" style="36" customWidth="1"/>
    <col min="14863" max="14864" width="0.42578125" style="36" customWidth="1"/>
    <col min="14865" max="14865" width="9.140625" style="36" customWidth="1"/>
    <col min="14866" max="15104" width="13.28515625" style="36"/>
    <col min="15105" max="15105" width="0.42578125" style="36" customWidth="1"/>
    <col min="15106" max="15106" width="6.85546875" style="36" customWidth="1"/>
    <col min="15107" max="15107" width="8.5703125" style="36" customWidth="1"/>
    <col min="15108" max="15108" width="4.7109375" style="36" customWidth="1"/>
    <col min="15109" max="15109" width="11.42578125" style="36" customWidth="1"/>
    <col min="15110" max="15110" width="4.7109375" style="36" customWidth="1"/>
    <col min="15111" max="15111" width="5" style="36" customWidth="1"/>
    <col min="15112" max="15112" width="4.7109375" style="36" customWidth="1"/>
    <col min="15113" max="15113" width="11.42578125" style="36" customWidth="1"/>
    <col min="15114" max="15114" width="4.7109375" style="36" customWidth="1"/>
    <col min="15115" max="15115" width="14.140625" style="36" customWidth="1"/>
    <col min="15116" max="15116" width="4.7109375" style="36" customWidth="1"/>
    <col min="15117" max="15117" width="11.42578125" style="36" customWidth="1"/>
    <col min="15118" max="15118" width="8.5703125" style="36" customWidth="1"/>
    <col min="15119" max="15120" width="0.42578125" style="36" customWidth="1"/>
    <col min="15121" max="15121" width="9.140625" style="36" customWidth="1"/>
    <col min="15122" max="15360" width="13.28515625" style="36"/>
    <col min="15361" max="15361" width="0.42578125" style="36" customWidth="1"/>
    <col min="15362" max="15362" width="6.85546875" style="36" customWidth="1"/>
    <col min="15363" max="15363" width="8.5703125" style="36" customWidth="1"/>
    <col min="15364" max="15364" width="4.7109375" style="36" customWidth="1"/>
    <col min="15365" max="15365" width="11.42578125" style="36" customWidth="1"/>
    <col min="15366" max="15366" width="4.7109375" style="36" customWidth="1"/>
    <col min="15367" max="15367" width="5" style="36" customWidth="1"/>
    <col min="15368" max="15368" width="4.7109375" style="36" customWidth="1"/>
    <col min="15369" max="15369" width="11.42578125" style="36" customWidth="1"/>
    <col min="15370" max="15370" width="4.7109375" style="36" customWidth="1"/>
    <col min="15371" max="15371" width="14.140625" style="36" customWidth="1"/>
    <col min="15372" max="15372" width="4.7109375" style="36" customWidth="1"/>
    <col min="15373" max="15373" width="11.42578125" style="36" customWidth="1"/>
    <col min="15374" max="15374" width="8.5703125" style="36" customWidth="1"/>
    <col min="15375" max="15376" width="0.42578125" style="36" customWidth="1"/>
    <col min="15377" max="15377" width="9.140625" style="36" customWidth="1"/>
    <col min="15378" max="15616" width="13.28515625" style="36"/>
    <col min="15617" max="15617" width="0.42578125" style="36" customWidth="1"/>
    <col min="15618" max="15618" width="6.85546875" style="36" customWidth="1"/>
    <col min="15619" max="15619" width="8.5703125" style="36" customWidth="1"/>
    <col min="15620" max="15620" width="4.7109375" style="36" customWidth="1"/>
    <col min="15621" max="15621" width="11.42578125" style="36" customWidth="1"/>
    <col min="15622" max="15622" width="4.7109375" style="36" customWidth="1"/>
    <col min="15623" max="15623" width="5" style="36" customWidth="1"/>
    <col min="15624" max="15624" width="4.7109375" style="36" customWidth="1"/>
    <col min="15625" max="15625" width="11.42578125" style="36" customWidth="1"/>
    <col min="15626" max="15626" width="4.7109375" style="36" customWidth="1"/>
    <col min="15627" max="15627" width="14.140625" style="36" customWidth="1"/>
    <col min="15628" max="15628" width="4.7109375" style="36" customWidth="1"/>
    <col min="15629" max="15629" width="11.42578125" style="36" customWidth="1"/>
    <col min="15630" max="15630" width="8.5703125" style="36" customWidth="1"/>
    <col min="15631" max="15632" width="0.42578125" style="36" customWidth="1"/>
    <col min="15633" max="15633" width="9.140625" style="36" customWidth="1"/>
    <col min="15634" max="15872" width="13.28515625" style="36"/>
    <col min="15873" max="15873" width="0.42578125" style="36" customWidth="1"/>
    <col min="15874" max="15874" width="6.85546875" style="36" customWidth="1"/>
    <col min="15875" max="15875" width="8.5703125" style="36" customWidth="1"/>
    <col min="15876" max="15876" width="4.7109375" style="36" customWidth="1"/>
    <col min="15877" max="15877" width="11.42578125" style="36" customWidth="1"/>
    <col min="15878" max="15878" width="4.7109375" style="36" customWidth="1"/>
    <col min="15879" max="15879" width="5" style="36" customWidth="1"/>
    <col min="15880" max="15880" width="4.7109375" style="36" customWidth="1"/>
    <col min="15881" max="15881" width="11.42578125" style="36" customWidth="1"/>
    <col min="15882" max="15882" width="4.7109375" style="36" customWidth="1"/>
    <col min="15883" max="15883" width="14.140625" style="36" customWidth="1"/>
    <col min="15884" max="15884" width="4.7109375" style="36" customWidth="1"/>
    <col min="15885" max="15885" width="11.42578125" style="36" customWidth="1"/>
    <col min="15886" max="15886" width="8.5703125" style="36" customWidth="1"/>
    <col min="15887" max="15888" width="0.42578125" style="36" customWidth="1"/>
    <col min="15889" max="15889" width="9.140625" style="36" customWidth="1"/>
    <col min="15890" max="16128" width="13.28515625" style="36"/>
    <col min="16129" max="16129" width="0.42578125" style="36" customWidth="1"/>
    <col min="16130" max="16130" width="6.85546875" style="36" customWidth="1"/>
    <col min="16131" max="16131" width="8.5703125" style="36" customWidth="1"/>
    <col min="16132" max="16132" width="4.7109375" style="36" customWidth="1"/>
    <col min="16133" max="16133" width="11.42578125" style="36" customWidth="1"/>
    <col min="16134" max="16134" width="4.7109375" style="36" customWidth="1"/>
    <col min="16135" max="16135" width="5" style="36" customWidth="1"/>
    <col min="16136" max="16136" width="4.7109375" style="36" customWidth="1"/>
    <col min="16137" max="16137" width="11.42578125" style="36" customWidth="1"/>
    <col min="16138" max="16138" width="4.7109375" style="36" customWidth="1"/>
    <col min="16139" max="16139" width="14.140625" style="36" customWidth="1"/>
    <col min="16140" max="16140" width="4.7109375" style="36" customWidth="1"/>
    <col min="16141" max="16141" width="11.42578125" style="36" customWidth="1"/>
    <col min="16142" max="16142" width="8.5703125" style="36" customWidth="1"/>
    <col min="16143" max="16144" width="0.42578125" style="36" customWidth="1"/>
    <col min="16145" max="16145" width="9.140625" style="36" customWidth="1"/>
    <col min="16146" max="16384" width="13.28515625" style="36"/>
  </cols>
  <sheetData>
    <row r="1" spans="3:15" ht="2.1" customHeight="1" x14ac:dyDescent="0.2">
      <c r="O1" s="36" t="s">
        <v>46</v>
      </c>
    </row>
    <row r="2" spans="3:15" ht="19.899999999999999" customHeight="1" x14ac:dyDescent="0.2"/>
    <row r="3" spans="3:15" ht="12.75" customHeight="1" x14ac:dyDescent="0.2">
      <c r="C3" s="37" t="s">
        <v>46</v>
      </c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3:15" ht="3.2" customHeight="1" x14ac:dyDescent="0.2"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3:15" ht="15" customHeight="1" x14ac:dyDescent="0.25">
      <c r="C5" s="38" t="s">
        <v>47</v>
      </c>
      <c r="D5" s="38"/>
      <c r="E5" s="38"/>
      <c r="F5" s="38"/>
      <c r="G5" s="38"/>
      <c r="H5" s="38"/>
      <c r="I5" s="38"/>
      <c r="J5" s="38"/>
      <c r="K5" s="38"/>
      <c r="L5" s="38"/>
      <c r="M5" s="38"/>
    </row>
    <row r="6" spans="3:15" ht="17.25" customHeight="1" x14ac:dyDescent="0.25">
      <c r="C6" s="39" t="s">
        <v>48</v>
      </c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3:15" ht="17.25" customHeight="1" x14ac:dyDescent="0.25">
      <c r="C7" s="39" t="s">
        <v>49</v>
      </c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3:15" ht="17.25" customHeight="1" x14ac:dyDescent="0.25">
      <c r="C8" s="39" t="s">
        <v>50</v>
      </c>
      <c r="D8" s="59"/>
      <c r="E8" s="59"/>
      <c r="F8" s="59"/>
      <c r="G8" s="59"/>
      <c r="H8" s="59"/>
      <c r="I8" s="59"/>
      <c r="J8" s="59"/>
      <c r="K8" s="59"/>
      <c r="L8" s="59"/>
      <c r="M8" s="39"/>
    </row>
    <row r="9" spans="3:15" ht="12.75" customHeight="1" x14ac:dyDescent="0.25">
      <c r="C9" s="39" t="s">
        <v>49</v>
      </c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3:15" ht="21.6" customHeight="1" x14ac:dyDescent="0.3">
      <c r="C10" s="40" t="s">
        <v>127</v>
      </c>
      <c r="D10" s="40"/>
      <c r="E10" s="40"/>
      <c r="F10" s="40"/>
      <c r="G10" s="40"/>
      <c r="H10" s="40"/>
      <c r="I10" s="40"/>
      <c r="J10" s="40"/>
      <c r="K10" s="40"/>
      <c r="L10" s="40"/>
      <c r="M10" s="41"/>
    </row>
    <row r="11" spans="3:15" ht="5.45" customHeight="1" x14ac:dyDescent="0.3"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3:15" ht="1.35" customHeight="1" x14ac:dyDescent="0.2"/>
    <row r="13" spans="3:15" ht="12.75" customHeight="1" x14ac:dyDescent="0.2"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3:15" ht="23.25" customHeight="1" x14ac:dyDescent="0.2">
      <c r="C14" s="61" t="s">
        <v>67</v>
      </c>
      <c r="D14" s="61"/>
      <c r="E14" s="61" t="s">
        <v>68</v>
      </c>
      <c r="F14" s="61"/>
      <c r="G14" s="61" t="s">
        <v>128</v>
      </c>
      <c r="H14" s="61"/>
      <c r="I14" s="61" t="s">
        <v>129</v>
      </c>
      <c r="J14" s="61"/>
      <c r="K14" s="61" t="s">
        <v>130</v>
      </c>
      <c r="L14" s="61"/>
      <c r="M14" s="61" t="s">
        <v>131</v>
      </c>
    </row>
    <row r="15" spans="3:15" ht="1.35" customHeight="1" x14ac:dyDescent="0.2"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</row>
    <row r="16" spans="3:15" ht="1.1499999999999999" customHeight="1" x14ac:dyDescent="0.2">
      <c r="C16" s="62"/>
      <c r="D16" s="63"/>
      <c r="E16" s="63"/>
      <c r="F16" s="63"/>
      <c r="G16" s="63"/>
      <c r="H16" s="63"/>
      <c r="I16" s="63"/>
      <c r="J16" s="63"/>
      <c r="K16" s="63"/>
      <c r="L16" s="63"/>
      <c r="M16" s="62"/>
    </row>
    <row r="17" spans="3:13" ht="10.9" customHeight="1" x14ac:dyDescent="0.2">
      <c r="C17" s="64">
        <v>40450</v>
      </c>
      <c r="D17" s="65"/>
      <c r="E17" s="66">
        <v>1244751.72</v>
      </c>
      <c r="F17" s="66"/>
      <c r="G17" s="85">
        <v>0</v>
      </c>
      <c r="H17" s="85"/>
      <c r="I17" s="66">
        <v>1244751.72</v>
      </c>
      <c r="J17" s="66"/>
      <c r="K17" s="66">
        <v>1244751.72</v>
      </c>
      <c r="L17" s="66"/>
      <c r="M17" s="68">
        <v>0</v>
      </c>
    </row>
    <row r="18" spans="3:13" ht="1.35" customHeight="1" x14ac:dyDescent="0.2"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2"/>
    </row>
    <row r="19" spans="3:13" ht="1.35" customHeight="1" x14ac:dyDescent="0.2"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</row>
    <row r="20" spans="3:13" ht="12.75" customHeight="1" x14ac:dyDescent="0.2">
      <c r="C20" s="70">
        <v>0</v>
      </c>
      <c r="D20" s="70"/>
      <c r="E20" s="71">
        <v>1244751.72</v>
      </c>
      <c r="F20" s="71"/>
      <c r="G20" s="72">
        <v>0</v>
      </c>
      <c r="H20" s="72"/>
      <c r="I20" s="71">
        <v>1244751.72</v>
      </c>
      <c r="J20" s="71"/>
      <c r="K20" s="71">
        <v>1244751.72</v>
      </c>
      <c r="L20" s="71"/>
      <c r="M20" s="72">
        <v>0</v>
      </c>
    </row>
    <row r="21" spans="3:13" ht="1.35" customHeight="1" x14ac:dyDescent="0.2"/>
    <row r="22" spans="3:13" ht="10.9" customHeight="1" x14ac:dyDescent="0.2"/>
    <row r="23" spans="3:13" ht="10.9" customHeight="1" x14ac:dyDescent="0.2">
      <c r="C23" s="44" t="s">
        <v>132</v>
      </c>
      <c r="D23" s="44"/>
      <c r="E23" s="73"/>
      <c r="F23" s="73"/>
      <c r="G23" s="73"/>
      <c r="H23" s="73"/>
      <c r="I23" s="73"/>
      <c r="J23" s="73"/>
      <c r="K23" s="73"/>
      <c r="L23" s="73"/>
      <c r="M23" s="45" t="s">
        <v>49</v>
      </c>
    </row>
    <row r="24" spans="3:13" ht="10.9" customHeight="1" x14ac:dyDescent="0.2">
      <c r="C24" s="74" t="s">
        <v>46</v>
      </c>
      <c r="D24" s="74"/>
      <c r="M24" s="75" t="s">
        <v>49</v>
      </c>
    </row>
    <row r="25" spans="3:13" ht="10.9" customHeight="1" x14ac:dyDescent="0.2">
      <c r="C25" s="46" t="s">
        <v>133</v>
      </c>
      <c r="D25" s="46"/>
      <c r="E25" s="62"/>
      <c r="F25" s="62"/>
      <c r="G25" s="62"/>
      <c r="H25" s="62"/>
      <c r="I25" s="62"/>
      <c r="J25" s="62"/>
      <c r="K25" s="62"/>
      <c r="L25" s="62"/>
      <c r="M25" s="86">
        <v>1</v>
      </c>
    </row>
    <row r="26" spans="3:13" ht="10.9" customHeight="1" x14ac:dyDescent="0.2">
      <c r="C26" s="46" t="s">
        <v>134</v>
      </c>
      <c r="D26" s="46"/>
      <c r="E26" s="62"/>
      <c r="F26" s="62"/>
      <c r="G26" s="62"/>
      <c r="H26" s="62"/>
      <c r="I26" s="62"/>
      <c r="J26" s="62"/>
      <c r="K26" s="62"/>
      <c r="L26" s="62"/>
      <c r="M26" s="87">
        <v>-1</v>
      </c>
    </row>
    <row r="27" spans="3:13" ht="10.9" customHeight="1" x14ac:dyDescent="0.2">
      <c r="C27" s="49" t="s">
        <v>46</v>
      </c>
      <c r="D27" s="74"/>
      <c r="M27" s="50" t="s">
        <v>49</v>
      </c>
    </row>
    <row r="28" spans="3:13" ht="10.9" customHeight="1" x14ac:dyDescent="0.2">
      <c r="C28" s="49" t="s">
        <v>46</v>
      </c>
      <c r="D28" s="74"/>
      <c r="M28" s="50" t="s">
        <v>49</v>
      </c>
    </row>
    <row r="29" spans="3:13" ht="10.9" customHeight="1" x14ac:dyDescent="0.2">
      <c r="C29" s="46" t="s">
        <v>135</v>
      </c>
      <c r="D29" s="46"/>
      <c r="E29" s="62"/>
      <c r="F29" s="62"/>
      <c r="G29" s="62"/>
      <c r="H29" s="62"/>
      <c r="I29" s="62"/>
      <c r="J29" s="62"/>
      <c r="K29" s="62"/>
      <c r="L29" s="62"/>
      <c r="M29" s="48">
        <v>1244751.72</v>
      </c>
    </row>
    <row r="30" spans="3:13" ht="10.9" customHeight="1" x14ac:dyDescent="0.2">
      <c r="C30" s="46" t="s">
        <v>136</v>
      </c>
      <c r="D30" s="46"/>
      <c r="E30" s="62"/>
      <c r="F30" s="62"/>
      <c r="G30" s="62"/>
      <c r="H30" s="62"/>
      <c r="I30" s="62"/>
      <c r="J30" s="62"/>
      <c r="K30" s="62"/>
      <c r="L30" s="62"/>
      <c r="M30" s="47">
        <v>1244751.72</v>
      </c>
    </row>
    <row r="31" spans="3:13" ht="10.9" customHeight="1" x14ac:dyDescent="0.2">
      <c r="C31" s="49" t="s">
        <v>46</v>
      </c>
      <c r="D31" s="74"/>
      <c r="M31" s="50" t="s">
        <v>49</v>
      </c>
    </row>
    <row r="32" spans="3:13" ht="10.9" customHeight="1" x14ac:dyDescent="0.2">
      <c r="C32" s="46" t="s">
        <v>137</v>
      </c>
      <c r="D32" s="46"/>
      <c r="E32" s="62"/>
      <c r="F32" s="62"/>
      <c r="G32" s="62"/>
      <c r="H32" s="62"/>
      <c r="I32" s="62"/>
      <c r="J32" s="62"/>
      <c r="K32" s="62"/>
      <c r="L32" s="62"/>
      <c r="M32" s="47">
        <v>1244751.72</v>
      </c>
    </row>
    <row r="33" spans="1:13" ht="10.9" customHeight="1" x14ac:dyDescent="0.2">
      <c r="C33" s="49" t="s">
        <v>46</v>
      </c>
      <c r="D33" s="74"/>
      <c r="M33" s="50" t="s">
        <v>49</v>
      </c>
    </row>
    <row r="34" spans="1:13" ht="10.9" customHeight="1" x14ac:dyDescent="0.2">
      <c r="C34" s="46" t="s">
        <v>138</v>
      </c>
      <c r="D34" s="46"/>
      <c r="E34" s="62"/>
      <c r="F34" s="62"/>
      <c r="G34" s="62"/>
      <c r="H34" s="62"/>
      <c r="I34" s="62"/>
      <c r="J34" s="62"/>
      <c r="K34" s="62"/>
      <c r="L34" s="62"/>
      <c r="M34" s="77">
        <v>0</v>
      </c>
    </row>
    <row r="35" spans="1:13" ht="10.9" customHeight="1" x14ac:dyDescent="0.2">
      <c r="C35" s="46" t="s">
        <v>139</v>
      </c>
      <c r="D35" s="46"/>
      <c r="E35" s="62"/>
      <c r="F35" s="62"/>
      <c r="G35" s="62"/>
      <c r="H35" s="62"/>
      <c r="I35" s="62"/>
      <c r="J35" s="62"/>
      <c r="K35" s="62"/>
      <c r="L35" s="62"/>
      <c r="M35" s="77">
        <v>2.8978799801691801</v>
      </c>
    </row>
    <row r="36" spans="1:13" ht="31.9" customHeight="1" x14ac:dyDescent="0.2"/>
    <row r="37" spans="1:13" ht="310.89999999999998" customHeight="1" x14ac:dyDescent="0.2"/>
    <row r="38" spans="1:13" ht="12.75" customHeight="1" x14ac:dyDescent="0.2">
      <c r="C38" s="54" t="s">
        <v>63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</row>
    <row r="39" spans="1:13" ht="12.75" customHeight="1" x14ac:dyDescent="0.3"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</row>
    <row r="40" spans="1:13" ht="18.75" customHeight="1" x14ac:dyDescent="0.3">
      <c r="C40" s="56" t="s">
        <v>0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</row>
    <row r="41" spans="1:13" ht="12.75" customHeight="1" x14ac:dyDescent="0.2">
      <c r="C41" s="57" t="s">
        <v>64</v>
      </c>
      <c r="D41" s="57"/>
      <c r="E41" s="57"/>
      <c r="F41" s="57"/>
      <c r="G41" s="57"/>
      <c r="H41" s="57"/>
      <c r="I41" s="57"/>
      <c r="J41" s="57"/>
      <c r="K41" s="57"/>
      <c r="L41" s="57"/>
      <c r="M41" s="58" t="s">
        <v>140</v>
      </c>
    </row>
    <row r="43" spans="1:13" ht="2.1" customHeight="1" x14ac:dyDescent="0.2">
      <c r="A43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G31"/>
  <sheetViews>
    <sheetView showGridLines="0" workbookViewId="0"/>
  </sheetViews>
  <sheetFormatPr defaultColWidth="13.28515625" defaultRowHeight="12.75" customHeight="1" x14ac:dyDescent="0.2"/>
  <cols>
    <col min="1" max="1" width="0.42578125" style="36" customWidth="1"/>
    <col min="2" max="2" width="6.85546875" style="36" customWidth="1"/>
    <col min="3" max="3" width="14.7109375" style="36" customWidth="1"/>
    <col min="4" max="4" width="61.7109375" style="36" customWidth="1"/>
    <col min="5" max="5" width="9.140625" style="36" customWidth="1"/>
    <col min="6" max="6" width="8.5703125" style="36" customWidth="1"/>
    <col min="7" max="8" width="0.42578125" style="36" customWidth="1"/>
    <col min="9" max="9" width="9.140625" style="36" customWidth="1"/>
    <col min="10" max="256" width="13.28515625" style="36"/>
    <col min="257" max="257" width="0.42578125" style="36" customWidth="1"/>
    <col min="258" max="258" width="6.85546875" style="36" customWidth="1"/>
    <col min="259" max="259" width="14.7109375" style="36" customWidth="1"/>
    <col min="260" max="260" width="61.7109375" style="36" customWidth="1"/>
    <col min="261" max="261" width="9.140625" style="36" customWidth="1"/>
    <col min="262" max="262" width="8.5703125" style="36" customWidth="1"/>
    <col min="263" max="264" width="0.42578125" style="36" customWidth="1"/>
    <col min="265" max="265" width="9.140625" style="36" customWidth="1"/>
    <col min="266" max="512" width="13.28515625" style="36"/>
    <col min="513" max="513" width="0.42578125" style="36" customWidth="1"/>
    <col min="514" max="514" width="6.85546875" style="36" customWidth="1"/>
    <col min="515" max="515" width="14.7109375" style="36" customWidth="1"/>
    <col min="516" max="516" width="61.7109375" style="36" customWidth="1"/>
    <col min="517" max="517" width="9.140625" style="36" customWidth="1"/>
    <col min="518" max="518" width="8.5703125" style="36" customWidth="1"/>
    <col min="519" max="520" width="0.42578125" style="36" customWidth="1"/>
    <col min="521" max="521" width="9.140625" style="36" customWidth="1"/>
    <col min="522" max="768" width="13.28515625" style="36"/>
    <col min="769" max="769" width="0.42578125" style="36" customWidth="1"/>
    <col min="770" max="770" width="6.85546875" style="36" customWidth="1"/>
    <col min="771" max="771" width="14.7109375" style="36" customWidth="1"/>
    <col min="772" max="772" width="61.7109375" style="36" customWidth="1"/>
    <col min="773" max="773" width="9.140625" style="36" customWidth="1"/>
    <col min="774" max="774" width="8.5703125" style="36" customWidth="1"/>
    <col min="775" max="776" width="0.42578125" style="36" customWidth="1"/>
    <col min="777" max="777" width="9.140625" style="36" customWidth="1"/>
    <col min="778" max="1024" width="13.28515625" style="36"/>
    <col min="1025" max="1025" width="0.42578125" style="36" customWidth="1"/>
    <col min="1026" max="1026" width="6.85546875" style="36" customWidth="1"/>
    <col min="1027" max="1027" width="14.7109375" style="36" customWidth="1"/>
    <col min="1028" max="1028" width="61.7109375" style="36" customWidth="1"/>
    <col min="1029" max="1029" width="9.140625" style="36" customWidth="1"/>
    <col min="1030" max="1030" width="8.5703125" style="36" customWidth="1"/>
    <col min="1031" max="1032" width="0.42578125" style="36" customWidth="1"/>
    <col min="1033" max="1033" width="9.140625" style="36" customWidth="1"/>
    <col min="1034" max="1280" width="13.28515625" style="36"/>
    <col min="1281" max="1281" width="0.42578125" style="36" customWidth="1"/>
    <col min="1282" max="1282" width="6.85546875" style="36" customWidth="1"/>
    <col min="1283" max="1283" width="14.7109375" style="36" customWidth="1"/>
    <col min="1284" max="1284" width="61.7109375" style="36" customWidth="1"/>
    <col min="1285" max="1285" width="9.140625" style="36" customWidth="1"/>
    <col min="1286" max="1286" width="8.5703125" style="36" customWidth="1"/>
    <col min="1287" max="1288" width="0.42578125" style="36" customWidth="1"/>
    <col min="1289" max="1289" width="9.140625" style="36" customWidth="1"/>
    <col min="1290" max="1536" width="13.28515625" style="36"/>
    <col min="1537" max="1537" width="0.42578125" style="36" customWidth="1"/>
    <col min="1538" max="1538" width="6.85546875" style="36" customWidth="1"/>
    <col min="1539" max="1539" width="14.7109375" style="36" customWidth="1"/>
    <col min="1540" max="1540" width="61.7109375" style="36" customWidth="1"/>
    <col min="1541" max="1541" width="9.140625" style="36" customWidth="1"/>
    <col min="1542" max="1542" width="8.5703125" style="36" customWidth="1"/>
    <col min="1543" max="1544" width="0.42578125" style="36" customWidth="1"/>
    <col min="1545" max="1545" width="9.140625" style="36" customWidth="1"/>
    <col min="1546" max="1792" width="13.28515625" style="36"/>
    <col min="1793" max="1793" width="0.42578125" style="36" customWidth="1"/>
    <col min="1794" max="1794" width="6.85546875" style="36" customWidth="1"/>
    <col min="1795" max="1795" width="14.7109375" style="36" customWidth="1"/>
    <col min="1796" max="1796" width="61.7109375" style="36" customWidth="1"/>
    <col min="1797" max="1797" width="9.140625" style="36" customWidth="1"/>
    <col min="1798" max="1798" width="8.5703125" style="36" customWidth="1"/>
    <col min="1799" max="1800" width="0.42578125" style="36" customWidth="1"/>
    <col min="1801" max="1801" width="9.140625" style="36" customWidth="1"/>
    <col min="1802" max="2048" width="13.28515625" style="36"/>
    <col min="2049" max="2049" width="0.42578125" style="36" customWidth="1"/>
    <col min="2050" max="2050" width="6.85546875" style="36" customWidth="1"/>
    <col min="2051" max="2051" width="14.7109375" style="36" customWidth="1"/>
    <col min="2052" max="2052" width="61.7109375" style="36" customWidth="1"/>
    <col min="2053" max="2053" width="9.140625" style="36" customWidth="1"/>
    <col min="2054" max="2054" width="8.5703125" style="36" customWidth="1"/>
    <col min="2055" max="2056" width="0.42578125" style="36" customWidth="1"/>
    <col min="2057" max="2057" width="9.140625" style="36" customWidth="1"/>
    <col min="2058" max="2304" width="13.28515625" style="36"/>
    <col min="2305" max="2305" width="0.42578125" style="36" customWidth="1"/>
    <col min="2306" max="2306" width="6.85546875" style="36" customWidth="1"/>
    <col min="2307" max="2307" width="14.7109375" style="36" customWidth="1"/>
    <col min="2308" max="2308" width="61.7109375" style="36" customWidth="1"/>
    <col min="2309" max="2309" width="9.140625" style="36" customWidth="1"/>
    <col min="2310" max="2310" width="8.5703125" style="36" customWidth="1"/>
    <col min="2311" max="2312" width="0.42578125" style="36" customWidth="1"/>
    <col min="2313" max="2313" width="9.140625" style="36" customWidth="1"/>
    <col min="2314" max="2560" width="13.28515625" style="36"/>
    <col min="2561" max="2561" width="0.42578125" style="36" customWidth="1"/>
    <col min="2562" max="2562" width="6.85546875" style="36" customWidth="1"/>
    <col min="2563" max="2563" width="14.7109375" style="36" customWidth="1"/>
    <col min="2564" max="2564" width="61.7109375" style="36" customWidth="1"/>
    <col min="2565" max="2565" width="9.140625" style="36" customWidth="1"/>
    <col min="2566" max="2566" width="8.5703125" style="36" customWidth="1"/>
    <col min="2567" max="2568" width="0.42578125" style="36" customWidth="1"/>
    <col min="2569" max="2569" width="9.140625" style="36" customWidth="1"/>
    <col min="2570" max="2816" width="13.28515625" style="36"/>
    <col min="2817" max="2817" width="0.42578125" style="36" customWidth="1"/>
    <col min="2818" max="2818" width="6.85546875" style="36" customWidth="1"/>
    <col min="2819" max="2819" width="14.7109375" style="36" customWidth="1"/>
    <col min="2820" max="2820" width="61.7109375" style="36" customWidth="1"/>
    <col min="2821" max="2821" width="9.140625" style="36" customWidth="1"/>
    <col min="2822" max="2822" width="8.5703125" style="36" customWidth="1"/>
    <col min="2823" max="2824" width="0.42578125" style="36" customWidth="1"/>
    <col min="2825" max="2825" width="9.140625" style="36" customWidth="1"/>
    <col min="2826" max="3072" width="13.28515625" style="36"/>
    <col min="3073" max="3073" width="0.42578125" style="36" customWidth="1"/>
    <col min="3074" max="3074" width="6.85546875" style="36" customWidth="1"/>
    <col min="3075" max="3075" width="14.7109375" style="36" customWidth="1"/>
    <col min="3076" max="3076" width="61.7109375" style="36" customWidth="1"/>
    <col min="3077" max="3077" width="9.140625" style="36" customWidth="1"/>
    <col min="3078" max="3078" width="8.5703125" style="36" customWidth="1"/>
    <col min="3079" max="3080" width="0.42578125" style="36" customWidth="1"/>
    <col min="3081" max="3081" width="9.140625" style="36" customWidth="1"/>
    <col min="3082" max="3328" width="13.28515625" style="36"/>
    <col min="3329" max="3329" width="0.42578125" style="36" customWidth="1"/>
    <col min="3330" max="3330" width="6.85546875" style="36" customWidth="1"/>
    <col min="3331" max="3331" width="14.7109375" style="36" customWidth="1"/>
    <col min="3332" max="3332" width="61.7109375" style="36" customWidth="1"/>
    <col min="3333" max="3333" width="9.140625" style="36" customWidth="1"/>
    <col min="3334" max="3334" width="8.5703125" style="36" customWidth="1"/>
    <col min="3335" max="3336" width="0.42578125" style="36" customWidth="1"/>
    <col min="3337" max="3337" width="9.140625" style="36" customWidth="1"/>
    <col min="3338" max="3584" width="13.28515625" style="36"/>
    <col min="3585" max="3585" width="0.42578125" style="36" customWidth="1"/>
    <col min="3586" max="3586" width="6.85546875" style="36" customWidth="1"/>
    <col min="3587" max="3587" width="14.7109375" style="36" customWidth="1"/>
    <col min="3588" max="3588" width="61.7109375" style="36" customWidth="1"/>
    <col min="3589" max="3589" width="9.140625" style="36" customWidth="1"/>
    <col min="3590" max="3590" width="8.5703125" style="36" customWidth="1"/>
    <col min="3591" max="3592" width="0.42578125" style="36" customWidth="1"/>
    <col min="3593" max="3593" width="9.140625" style="36" customWidth="1"/>
    <col min="3594" max="3840" width="13.28515625" style="36"/>
    <col min="3841" max="3841" width="0.42578125" style="36" customWidth="1"/>
    <col min="3842" max="3842" width="6.85546875" style="36" customWidth="1"/>
    <col min="3843" max="3843" width="14.7109375" style="36" customWidth="1"/>
    <col min="3844" max="3844" width="61.7109375" style="36" customWidth="1"/>
    <col min="3845" max="3845" width="9.140625" style="36" customWidth="1"/>
    <col min="3846" max="3846" width="8.5703125" style="36" customWidth="1"/>
    <col min="3847" max="3848" width="0.42578125" style="36" customWidth="1"/>
    <col min="3849" max="3849" width="9.140625" style="36" customWidth="1"/>
    <col min="3850" max="4096" width="13.28515625" style="36"/>
    <col min="4097" max="4097" width="0.42578125" style="36" customWidth="1"/>
    <col min="4098" max="4098" width="6.85546875" style="36" customWidth="1"/>
    <col min="4099" max="4099" width="14.7109375" style="36" customWidth="1"/>
    <col min="4100" max="4100" width="61.7109375" style="36" customWidth="1"/>
    <col min="4101" max="4101" width="9.140625" style="36" customWidth="1"/>
    <col min="4102" max="4102" width="8.5703125" style="36" customWidth="1"/>
    <col min="4103" max="4104" width="0.42578125" style="36" customWidth="1"/>
    <col min="4105" max="4105" width="9.140625" style="36" customWidth="1"/>
    <col min="4106" max="4352" width="13.28515625" style="36"/>
    <col min="4353" max="4353" width="0.42578125" style="36" customWidth="1"/>
    <col min="4354" max="4354" width="6.85546875" style="36" customWidth="1"/>
    <col min="4355" max="4355" width="14.7109375" style="36" customWidth="1"/>
    <col min="4356" max="4356" width="61.7109375" style="36" customWidth="1"/>
    <col min="4357" max="4357" width="9.140625" style="36" customWidth="1"/>
    <col min="4358" max="4358" width="8.5703125" style="36" customWidth="1"/>
    <col min="4359" max="4360" width="0.42578125" style="36" customWidth="1"/>
    <col min="4361" max="4361" width="9.140625" style="36" customWidth="1"/>
    <col min="4362" max="4608" width="13.28515625" style="36"/>
    <col min="4609" max="4609" width="0.42578125" style="36" customWidth="1"/>
    <col min="4610" max="4610" width="6.85546875" style="36" customWidth="1"/>
    <col min="4611" max="4611" width="14.7109375" style="36" customWidth="1"/>
    <col min="4612" max="4612" width="61.7109375" style="36" customWidth="1"/>
    <col min="4613" max="4613" width="9.140625" style="36" customWidth="1"/>
    <col min="4614" max="4614" width="8.5703125" style="36" customWidth="1"/>
    <col min="4615" max="4616" width="0.42578125" style="36" customWidth="1"/>
    <col min="4617" max="4617" width="9.140625" style="36" customWidth="1"/>
    <col min="4618" max="4864" width="13.28515625" style="36"/>
    <col min="4865" max="4865" width="0.42578125" style="36" customWidth="1"/>
    <col min="4866" max="4866" width="6.85546875" style="36" customWidth="1"/>
    <col min="4867" max="4867" width="14.7109375" style="36" customWidth="1"/>
    <col min="4868" max="4868" width="61.7109375" style="36" customWidth="1"/>
    <col min="4869" max="4869" width="9.140625" style="36" customWidth="1"/>
    <col min="4870" max="4870" width="8.5703125" style="36" customWidth="1"/>
    <col min="4871" max="4872" width="0.42578125" style="36" customWidth="1"/>
    <col min="4873" max="4873" width="9.140625" style="36" customWidth="1"/>
    <col min="4874" max="5120" width="13.28515625" style="36"/>
    <col min="5121" max="5121" width="0.42578125" style="36" customWidth="1"/>
    <col min="5122" max="5122" width="6.85546875" style="36" customWidth="1"/>
    <col min="5123" max="5123" width="14.7109375" style="36" customWidth="1"/>
    <col min="5124" max="5124" width="61.7109375" style="36" customWidth="1"/>
    <col min="5125" max="5125" width="9.140625" style="36" customWidth="1"/>
    <col min="5126" max="5126" width="8.5703125" style="36" customWidth="1"/>
    <col min="5127" max="5128" width="0.42578125" style="36" customWidth="1"/>
    <col min="5129" max="5129" width="9.140625" style="36" customWidth="1"/>
    <col min="5130" max="5376" width="13.28515625" style="36"/>
    <col min="5377" max="5377" width="0.42578125" style="36" customWidth="1"/>
    <col min="5378" max="5378" width="6.85546875" style="36" customWidth="1"/>
    <col min="5379" max="5379" width="14.7109375" style="36" customWidth="1"/>
    <col min="5380" max="5380" width="61.7109375" style="36" customWidth="1"/>
    <col min="5381" max="5381" width="9.140625" style="36" customWidth="1"/>
    <col min="5382" max="5382" width="8.5703125" style="36" customWidth="1"/>
    <col min="5383" max="5384" width="0.42578125" style="36" customWidth="1"/>
    <col min="5385" max="5385" width="9.140625" style="36" customWidth="1"/>
    <col min="5386" max="5632" width="13.28515625" style="36"/>
    <col min="5633" max="5633" width="0.42578125" style="36" customWidth="1"/>
    <col min="5634" max="5634" width="6.85546875" style="36" customWidth="1"/>
    <col min="5635" max="5635" width="14.7109375" style="36" customWidth="1"/>
    <col min="5636" max="5636" width="61.7109375" style="36" customWidth="1"/>
    <col min="5637" max="5637" width="9.140625" style="36" customWidth="1"/>
    <col min="5638" max="5638" width="8.5703125" style="36" customWidth="1"/>
    <col min="5639" max="5640" width="0.42578125" style="36" customWidth="1"/>
    <col min="5641" max="5641" width="9.140625" style="36" customWidth="1"/>
    <col min="5642" max="5888" width="13.28515625" style="36"/>
    <col min="5889" max="5889" width="0.42578125" style="36" customWidth="1"/>
    <col min="5890" max="5890" width="6.85546875" style="36" customWidth="1"/>
    <col min="5891" max="5891" width="14.7109375" style="36" customWidth="1"/>
    <col min="5892" max="5892" width="61.7109375" style="36" customWidth="1"/>
    <col min="5893" max="5893" width="9.140625" style="36" customWidth="1"/>
    <col min="5894" max="5894" width="8.5703125" style="36" customWidth="1"/>
    <col min="5895" max="5896" width="0.42578125" style="36" customWidth="1"/>
    <col min="5897" max="5897" width="9.140625" style="36" customWidth="1"/>
    <col min="5898" max="6144" width="13.28515625" style="36"/>
    <col min="6145" max="6145" width="0.42578125" style="36" customWidth="1"/>
    <col min="6146" max="6146" width="6.85546875" style="36" customWidth="1"/>
    <col min="6147" max="6147" width="14.7109375" style="36" customWidth="1"/>
    <col min="6148" max="6148" width="61.7109375" style="36" customWidth="1"/>
    <col min="6149" max="6149" width="9.140625" style="36" customWidth="1"/>
    <col min="6150" max="6150" width="8.5703125" style="36" customWidth="1"/>
    <col min="6151" max="6152" width="0.42578125" style="36" customWidth="1"/>
    <col min="6153" max="6153" width="9.140625" style="36" customWidth="1"/>
    <col min="6154" max="6400" width="13.28515625" style="36"/>
    <col min="6401" max="6401" width="0.42578125" style="36" customWidth="1"/>
    <col min="6402" max="6402" width="6.85546875" style="36" customWidth="1"/>
    <col min="6403" max="6403" width="14.7109375" style="36" customWidth="1"/>
    <col min="6404" max="6404" width="61.7109375" style="36" customWidth="1"/>
    <col min="6405" max="6405" width="9.140625" style="36" customWidth="1"/>
    <col min="6406" max="6406" width="8.5703125" style="36" customWidth="1"/>
    <col min="6407" max="6408" width="0.42578125" style="36" customWidth="1"/>
    <col min="6409" max="6409" width="9.140625" style="36" customWidth="1"/>
    <col min="6410" max="6656" width="13.28515625" style="36"/>
    <col min="6657" max="6657" width="0.42578125" style="36" customWidth="1"/>
    <col min="6658" max="6658" width="6.85546875" style="36" customWidth="1"/>
    <col min="6659" max="6659" width="14.7109375" style="36" customWidth="1"/>
    <col min="6660" max="6660" width="61.7109375" style="36" customWidth="1"/>
    <col min="6661" max="6661" width="9.140625" style="36" customWidth="1"/>
    <col min="6662" max="6662" width="8.5703125" style="36" customWidth="1"/>
    <col min="6663" max="6664" width="0.42578125" style="36" customWidth="1"/>
    <col min="6665" max="6665" width="9.140625" style="36" customWidth="1"/>
    <col min="6666" max="6912" width="13.28515625" style="36"/>
    <col min="6913" max="6913" width="0.42578125" style="36" customWidth="1"/>
    <col min="6914" max="6914" width="6.85546875" style="36" customWidth="1"/>
    <col min="6915" max="6915" width="14.7109375" style="36" customWidth="1"/>
    <col min="6916" max="6916" width="61.7109375" style="36" customWidth="1"/>
    <col min="6917" max="6917" width="9.140625" style="36" customWidth="1"/>
    <col min="6918" max="6918" width="8.5703125" style="36" customWidth="1"/>
    <col min="6919" max="6920" width="0.42578125" style="36" customWidth="1"/>
    <col min="6921" max="6921" width="9.140625" style="36" customWidth="1"/>
    <col min="6922" max="7168" width="13.28515625" style="36"/>
    <col min="7169" max="7169" width="0.42578125" style="36" customWidth="1"/>
    <col min="7170" max="7170" width="6.85546875" style="36" customWidth="1"/>
    <col min="7171" max="7171" width="14.7109375" style="36" customWidth="1"/>
    <col min="7172" max="7172" width="61.7109375" style="36" customWidth="1"/>
    <col min="7173" max="7173" width="9.140625" style="36" customWidth="1"/>
    <col min="7174" max="7174" width="8.5703125" style="36" customWidth="1"/>
    <col min="7175" max="7176" width="0.42578125" style="36" customWidth="1"/>
    <col min="7177" max="7177" width="9.140625" style="36" customWidth="1"/>
    <col min="7178" max="7424" width="13.28515625" style="36"/>
    <col min="7425" max="7425" width="0.42578125" style="36" customWidth="1"/>
    <col min="7426" max="7426" width="6.85546875" style="36" customWidth="1"/>
    <col min="7427" max="7427" width="14.7109375" style="36" customWidth="1"/>
    <col min="7428" max="7428" width="61.7109375" style="36" customWidth="1"/>
    <col min="7429" max="7429" width="9.140625" style="36" customWidth="1"/>
    <col min="7430" max="7430" width="8.5703125" style="36" customWidth="1"/>
    <col min="7431" max="7432" width="0.42578125" style="36" customWidth="1"/>
    <col min="7433" max="7433" width="9.140625" style="36" customWidth="1"/>
    <col min="7434" max="7680" width="13.28515625" style="36"/>
    <col min="7681" max="7681" width="0.42578125" style="36" customWidth="1"/>
    <col min="7682" max="7682" width="6.85546875" style="36" customWidth="1"/>
    <col min="7683" max="7683" width="14.7109375" style="36" customWidth="1"/>
    <col min="7684" max="7684" width="61.7109375" style="36" customWidth="1"/>
    <col min="7685" max="7685" width="9.140625" style="36" customWidth="1"/>
    <col min="7686" max="7686" width="8.5703125" style="36" customWidth="1"/>
    <col min="7687" max="7688" width="0.42578125" style="36" customWidth="1"/>
    <col min="7689" max="7689" width="9.140625" style="36" customWidth="1"/>
    <col min="7690" max="7936" width="13.28515625" style="36"/>
    <col min="7937" max="7937" width="0.42578125" style="36" customWidth="1"/>
    <col min="7938" max="7938" width="6.85546875" style="36" customWidth="1"/>
    <col min="7939" max="7939" width="14.7109375" style="36" customWidth="1"/>
    <col min="7940" max="7940" width="61.7109375" style="36" customWidth="1"/>
    <col min="7941" max="7941" width="9.140625" style="36" customWidth="1"/>
    <col min="7942" max="7942" width="8.5703125" style="36" customWidth="1"/>
    <col min="7943" max="7944" width="0.42578125" style="36" customWidth="1"/>
    <col min="7945" max="7945" width="9.140625" style="36" customWidth="1"/>
    <col min="7946" max="8192" width="13.28515625" style="36"/>
    <col min="8193" max="8193" width="0.42578125" style="36" customWidth="1"/>
    <col min="8194" max="8194" width="6.85546875" style="36" customWidth="1"/>
    <col min="8195" max="8195" width="14.7109375" style="36" customWidth="1"/>
    <col min="8196" max="8196" width="61.7109375" style="36" customWidth="1"/>
    <col min="8197" max="8197" width="9.140625" style="36" customWidth="1"/>
    <col min="8198" max="8198" width="8.5703125" style="36" customWidth="1"/>
    <col min="8199" max="8200" width="0.42578125" style="36" customWidth="1"/>
    <col min="8201" max="8201" width="9.140625" style="36" customWidth="1"/>
    <col min="8202" max="8448" width="13.28515625" style="36"/>
    <col min="8449" max="8449" width="0.42578125" style="36" customWidth="1"/>
    <col min="8450" max="8450" width="6.85546875" style="36" customWidth="1"/>
    <col min="8451" max="8451" width="14.7109375" style="36" customWidth="1"/>
    <col min="8452" max="8452" width="61.7109375" style="36" customWidth="1"/>
    <col min="8453" max="8453" width="9.140625" style="36" customWidth="1"/>
    <col min="8454" max="8454" width="8.5703125" style="36" customWidth="1"/>
    <col min="8455" max="8456" width="0.42578125" style="36" customWidth="1"/>
    <col min="8457" max="8457" width="9.140625" style="36" customWidth="1"/>
    <col min="8458" max="8704" width="13.28515625" style="36"/>
    <col min="8705" max="8705" width="0.42578125" style="36" customWidth="1"/>
    <col min="8706" max="8706" width="6.85546875" style="36" customWidth="1"/>
    <col min="8707" max="8707" width="14.7109375" style="36" customWidth="1"/>
    <col min="8708" max="8708" width="61.7109375" style="36" customWidth="1"/>
    <col min="8709" max="8709" width="9.140625" style="36" customWidth="1"/>
    <col min="8710" max="8710" width="8.5703125" style="36" customWidth="1"/>
    <col min="8711" max="8712" width="0.42578125" style="36" customWidth="1"/>
    <col min="8713" max="8713" width="9.140625" style="36" customWidth="1"/>
    <col min="8714" max="8960" width="13.28515625" style="36"/>
    <col min="8961" max="8961" width="0.42578125" style="36" customWidth="1"/>
    <col min="8962" max="8962" width="6.85546875" style="36" customWidth="1"/>
    <col min="8963" max="8963" width="14.7109375" style="36" customWidth="1"/>
    <col min="8964" max="8964" width="61.7109375" style="36" customWidth="1"/>
    <col min="8965" max="8965" width="9.140625" style="36" customWidth="1"/>
    <col min="8966" max="8966" width="8.5703125" style="36" customWidth="1"/>
    <col min="8967" max="8968" width="0.42578125" style="36" customWidth="1"/>
    <col min="8969" max="8969" width="9.140625" style="36" customWidth="1"/>
    <col min="8970" max="9216" width="13.28515625" style="36"/>
    <col min="9217" max="9217" width="0.42578125" style="36" customWidth="1"/>
    <col min="9218" max="9218" width="6.85546875" style="36" customWidth="1"/>
    <col min="9219" max="9219" width="14.7109375" style="36" customWidth="1"/>
    <col min="9220" max="9220" width="61.7109375" style="36" customWidth="1"/>
    <col min="9221" max="9221" width="9.140625" style="36" customWidth="1"/>
    <col min="9222" max="9222" width="8.5703125" style="36" customWidth="1"/>
    <col min="9223" max="9224" width="0.42578125" style="36" customWidth="1"/>
    <col min="9225" max="9225" width="9.140625" style="36" customWidth="1"/>
    <col min="9226" max="9472" width="13.28515625" style="36"/>
    <col min="9473" max="9473" width="0.42578125" style="36" customWidth="1"/>
    <col min="9474" max="9474" width="6.85546875" style="36" customWidth="1"/>
    <col min="9475" max="9475" width="14.7109375" style="36" customWidth="1"/>
    <col min="9476" max="9476" width="61.7109375" style="36" customWidth="1"/>
    <col min="9477" max="9477" width="9.140625" style="36" customWidth="1"/>
    <col min="9478" max="9478" width="8.5703125" style="36" customWidth="1"/>
    <col min="9479" max="9480" width="0.42578125" style="36" customWidth="1"/>
    <col min="9481" max="9481" width="9.140625" style="36" customWidth="1"/>
    <col min="9482" max="9728" width="13.28515625" style="36"/>
    <col min="9729" max="9729" width="0.42578125" style="36" customWidth="1"/>
    <col min="9730" max="9730" width="6.85546875" style="36" customWidth="1"/>
    <col min="9731" max="9731" width="14.7109375" style="36" customWidth="1"/>
    <col min="9732" max="9732" width="61.7109375" style="36" customWidth="1"/>
    <col min="9733" max="9733" width="9.140625" style="36" customWidth="1"/>
    <col min="9734" max="9734" width="8.5703125" style="36" customWidth="1"/>
    <col min="9735" max="9736" width="0.42578125" style="36" customWidth="1"/>
    <col min="9737" max="9737" width="9.140625" style="36" customWidth="1"/>
    <col min="9738" max="9984" width="13.28515625" style="36"/>
    <col min="9985" max="9985" width="0.42578125" style="36" customWidth="1"/>
    <col min="9986" max="9986" width="6.85546875" style="36" customWidth="1"/>
    <col min="9987" max="9987" width="14.7109375" style="36" customWidth="1"/>
    <col min="9988" max="9988" width="61.7109375" style="36" customWidth="1"/>
    <col min="9989" max="9989" width="9.140625" style="36" customWidth="1"/>
    <col min="9990" max="9990" width="8.5703125" style="36" customWidth="1"/>
    <col min="9991" max="9992" width="0.42578125" style="36" customWidth="1"/>
    <col min="9993" max="9993" width="9.140625" style="36" customWidth="1"/>
    <col min="9994" max="10240" width="13.28515625" style="36"/>
    <col min="10241" max="10241" width="0.42578125" style="36" customWidth="1"/>
    <col min="10242" max="10242" width="6.85546875" style="36" customWidth="1"/>
    <col min="10243" max="10243" width="14.7109375" style="36" customWidth="1"/>
    <col min="10244" max="10244" width="61.7109375" style="36" customWidth="1"/>
    <col min="10245" max="10245" width="9.140625" style="36" customWidth="1"/>
    <col min="10246" max="10246" width="8.5703125" style="36" customWidth="1"/>
    <col min="10247" max="10248" width="0.42578125" style="36" customWidth="1"/>
    <col min="10249" max="10249" width="9.140625" style="36" customWidth="1"/>
    <col min="10250" max="10496" width="13.28515625" style="36"/>
    <col min="10497" max="10497" width="0.42578125" style="36" customWidth="1"/>
    <col min="10498" max="10498" width="6.85546875" style="36" customWidth="1"/>
    <col min="10499" max="10499" width="14.7109375" style="36" customWidth="1"/>
    <col min="10500" max="10500" width="61.7109375" style="36" customWidth="1"/>
    <col min="10501" max="10501" width="9.140625" style="36" customWidth="1"/>
    <col min="10502" max="10502" width="8.5703125" style="36" customWidth="1"/>
    <col min="10503" max="10504" width="0.42578125" style="36" customWidth="1"/>
    <col min="10505" max="10505" width="9.140625" style="36" customWidth="1"/>
    <col min="10506" max="10752" width="13.28515625" style="36"/>
    <col min="10753" max="10753" width="0.42578125" style="36" customWidth="1"/>
    <col min="10754" max="10754" width="6.85546875" style="36" customWidth="1"/>
    <col min="10755" max="10755" width="14.7109375" style="36" customWidth="1"/>
    <col min="10756" max="10756" width="61.7109375" style="36" customWidth="1"/>
    <col min="10757" max="10757" width="9.140625" style="36" customWidth="1"/>
    <col min="10758" max="10758" width="8.5703125" style="36" customWidth="1"/>
    <col min="10759" max="10760" width="0.42578125" style="36" customWidth="1"/>
    <col min="10761" max="10761" width="9.140625" style="36" customWidth="1"/>
    <col min="10762" max="11008" width="13.28515625" style="36"/>
    <col min="11009" max="11009" width="0.42578125" style="36" customWidth="1"/>
    <col min="11010" max="11010" width="6.85546875" style="36" customWidth="1"/>
    <col min="11011" max="11011" width="14.7109375" style="36" customWidth="1"/>
    <col min="11012" max="11012" width="61.7109375" style="36" customWidth="1"/>
    <col min="11013" max="11013" width="9.140625" style="36" customWidth="1"/>
    <col min="11014" max="11014" width="8.5703125" style="36" customWidth="1"/>
    <col min="11015" max="11016" width="0.42578125" style="36" customWidth="1"/>
    <col min="11017" max="11017" width="9.140625" style="36" customWidth="1"/>
    <col min="11018" max="11264" width="13.28515625" style="36"/>
    <col min="11265" max="11265" width="0.42578125" style="36" customWidth="1"/>
    <col min="11266" max="11266" width="6.85546875" style="36" customWidth="1"/>
    <col min="11267" max="11267" width="14.7109375" style="36" customWidth="1"/>
    <col min="11268" max="11268" width="61.7109375" style="36" customWidth="1"/>
    <col min="11269" max="11269" width="9.140625" style="36" customWidth="1"/>
    <col min="11270" max="11270" width="8.5703125" style="36" customWidth="1"/>
    <col min="11271" max="11272" width="0.42578125" style="36" customWidth="1"/>
    <col min="11273" max="11273" width="9.140625" style="36" customWidth="1"/>
    <col min="11274" max="11520" width="13.28515625" style="36"/>
    <col min="11521" max="11521" width="0.42578125" style="36" customWidth="1"/>
    <col min="11522" max="11522" width="6.85546875" style="36" customWidth="1"/>
    <col min="11523" max="11523" width="14.7109375" style="36" customWidth="1"/>
    <col min="11524" max="11524" width="61.7109375" style="36" customWidth="1"/>
    <col min="11525" max="11525" width="9.140625" style="36" customWidth="1"/>
    <col min="11526" max="11526" width="8.5703125" style="36" customWidth="1"/>
    <col min="11527" max="11528" width="0.42578125" style="36" customWidth="1"/>
    <col min="11529" max="11529" width="9.140625" style="36" customWidth="1"/>
    <col min="11530" max="11776" width="13.28515625" style="36"/>
    <col min="11777" max="11777" width="0.42578125" style="36" customWidth="1"/>
    <col min="11778" max="11778" width="6.85546875" style="36" customWidth="1"/>
    <col min="11779" max="11779" width="14.7109375" style="36" customWidth="1"/>
    <col min="11780" max="11780" width="61.7109375" style="36" customWidth="1"/>
    <col min="11781" max="11781" width="9.140625" style="36" customWidth="1"/>
    <col min="11782" max="11782" width="8.5703125" style="36" customWidth="1"/>
    <col min="11783" max="11784" width="0.42578125" style="36" customWidth="1"/>
    <col min="11785" max="11785" width="9.140625" style="36" customWidth="1"/>
    <col min="11786" max="12032" width="13.28515625" style="36"/>
    <col min="12033" max="12033" width="0.42578125" style="36" customWidth="1"/>
    <col min="12034" max="12034" width="6.85546875" style="36" customWidth="1"/>
    <col min="12035" max="12035" width="14.7109375" style="36" customWidth="1"/>
    <col min="12036" max="12036" width="61.7109375" style="36" customWidth="1"/>
    <col min="12037" max="12037" width="9.140625" style="36" customWidth="1"/>
    <col min="12038" max="12038" width="8.5703125" style="36" customWidth="1"/>
    <col min="12039" max="12040" width="0.42578125" style="36" customWidth="1"/>
    <col min="12041" max="12041" width="9.140625" style="36" customWidth="1"/>
    <col min="12042" max="12288" width="13.28515625" style="36"/>
    <col min="12289" max="12289" width="0.42578125" style="36" customWidth="1"/>
    <col min="12290" max="12290" width="6.85546875" style="36" customWidth="1"/>
    <col min="12291" max="12291" width="14.7109375" style="36" customWidth="1"/>
    <col min="12292" max="12292" width="61.7109375" style="36" customWidth="1"/>
    <col min="12293" max="12293" width="9.140625" style="36" customWidth="1"/>
    <col min="12294" max="12294" width="8.5703125" style="36" customWidth="1"/>
    <col min="12295" max="12296" width="0.42578125" style="36" customWidth="1"/>
    <col min="12297" max="12297" width="9.140625" style="36" customWidth="1"/>
    <col min="12298" max="12544" width="13.28515625" style="36"/>
    <col min="12545" max="12545" width="0.42578125" style="36" customWidth="1"/>
    <col min="12546" max="12546" width="6.85546875" style="36" customWidth="1"/>
    <col min="12547" max="12547" width="14.7109375" style="36" customWidth="1"/>
    <col min="12548" max="12548" width="61.7109375" style="36" customWidth="1"/>
    <col min="12549" max="12549" width="9.140625" style="36" customWidth="1"/>
    <col min="12550" max="12550" width="8.5703125" style="36" customWidth="1"/>
    <col min="12551" max="12552" width="0.42578125" style="36" customWidth="1"/>
    <col min="12553" max="12553" width="9.140625" style="36" customWidth="1"/>
    <col min="12554" max="12800" width="13.28515625" style="36"/>
    <col min="12801" max="12801" width="0.42578125" style="36" customWidth="1"/>
    <col min="12802" max="12802" width="6.85546875" style="36" customWidth="1"/>
    <col min="12803" max="12803" width="14.7109375" style="36" customWidth="1"/>
    <col min="12804" max="12804" width="61.7109375" style="36" customWidth="1"/>
    <col min="12805" max="12805" width="9.140625" style="36" customWidth="1"/>
    <col min="12806" max="12806" width="8.5703125" style="36" customWidth="1"/>
    <col min="12807" max="12808" width="0.42578125" style="36" customWidth="1"/>
    <col min="12809" max="12809" width="9.140625" style="36" customWidth="1"/>
    <col min="12810" max="13056" width="13.28515625" style="36"/>
    <col min="13057" max="13057" width="0.42578125" style="36" customWidth="1"/>
    <col min="13058" max="13058" width="6.85546875" style="36" customWidth="1"/>
    <col min="13059" max="13059" width="14.7109375" style="36" customWidth="1"/>
    <col min="13060" max="13060" width="61.7109375" style="36" customWidth="1"/>
    <col min="13061" max="13061" width="9.140625" style="36" customWidth="1"/>
    <col min="13062" max="13062" width="8.5703125" style="36" customWidth="1"/>
    <col min="13063" max="13064" width="0.42578125" style="36" customWidth="1"/>
    <col min="13065" max="13065" width="9.140625" style="36" customWidth="1"/>
    <col min="13066" max="13312" width="13.28515625" style="36"/>
    <col min="13313" max="13313" width="0.42578125" style="36" customWidth="1"/>
    <col min="13314" max="13314" width="6.85546875" style="36" customWidth="1"/>
    <col min="13315" max="13315" width="14.7109375" style="36" customWidth="1"/>
    <col min="13316" max="13316" width="61.7109375" style="36" customWidth="1"/>
    <col min="13317" max="13317" width="9.140625" style="36" customWidth="1"/>
    <col min="13318" max="13318" width="8.5703125" style="36" customWidth="1"/>
    <col min="13319" max="13320" width="0.42578125" style="36" customWidth="1"/>
    <col min="13321" max="13321" width="9.140625" style="36" customWidth="1"/>
    <col min="13322" max="13568" width="13.28515625" style="36"/>
    <col min="13569" max="13569" width="0.42578125" style="36" customWidth="1"/>
    <col min="13570" max="13570" width="6.85546875" style="36" customWidth="1"/>
    <col min="13571" max="13571" width="14.7109375" style="36" customWidth="1"/>
    <col min="13572" max="13572" width="61.7109375" style="36" customWidth="1"/>
    <col min="13573" max="13573" width="9.140625" style="36" customWidth="1"/>
    <col min="13574" max="13574" width="8.5703125" style="36" customWidth="1"/>
    <col min="13575" max="13576" width="0.42578125" style="36" customWidth="1"/>
    <col min="13577" max="13577" width="9.140625" style="36" customWidth="1"/>
    <col min="13578" max="13824" width="13.28515625" style="36"/>
    <col min="13825" max="13825" width="0.42578125" style="36" customWidth="1"/>
    <col min="13826" max="13826" width="6.85546875" style="36" customWidth="1"/>
    <col min="13827" max="13827" width="14.7109375" style="36" customWidth="1"/>
    <col min="13828" max="13828" width="61.7109375" style="36" customWidth="1"/>
    <col min="13829" max="13829" width="9.140625" style="36" customWidth="1"/>
    <col min="13830" max="13830" width="8.5703125" style="36" customWidth="1"/>
    <col min="13831" max="13832" width="0.42578125" style="36" customWidth="1"/>
    <col min="13833" max="13833" width="9.140625" style="36" customWidth="1"/>
    <col min="13834" max="14080" width="13.28515625" style="36"/>
    <col min="14081" max="14081" width="0.42578125" style="36" customWidth="1"/>
    <col min="14082" max="14082" width="6.85546875" style="36" customWidth="1"/>
    <col min="14083" max="14083" width="14.7109375" style="36" customWidth="1"/>
    <col min="14084" max="14084" width="61.7109375" style="36" customWidth="1"/>
    <col min="14085" max="14085" width="9.140625" style="36" customWidth="1"/>
    <col min="14086" max="14086" width="8.5703125" style="36" customWidth="1"/>
    <col min="14087" max="14088" width="0.42578125" style="36" customWidth="1"/>
    <col min="14089" max="14089" width="9.140625" style="36" customWidth="1"/>
    <col min="14090" max="14336" width="13.28515625" style="36"/>
    <col min="14337" max="14337" width="0.42578125" style="36" customWidth="1"/>
    <col min="14338" max="14338" width="6.85546875" style="36" customWidth="1"/>
    <col min="14339" max="14339" width="14.7109375" style="36" customWidth="1"/>
    <col min="14340" max="14340" width="61.7109375" style="36" customWidth="1"/>
    <col min="14341" max="14341" width="9.140625" style="36" customWidth="1"/>
    <col min="14342" max="14342" width="8.5703125" style="36" customWidth="1"/>
    <col min="14343" max="14344" width="0.42578125" style="36" customWidth="1"/>
    <col min="14345" max="14345" width="9.140625" style="36" customWidth="1"/>
    <col min="14346" max="14592" width="13.28515625" style="36"/>
    <col min="14593" max="14593" width="0.42578125" style="36" customWidth="1"/>
    <col min="14594" max="14594" width="6.85546875" style="36" customWidth="1"/>
    <col min="14595" max="14595" width="14.7109375" style="36" customWidth="1"/>
    <col min="14596" max="14596" width="61.7109375" style="36" customWidth="1"/>
    <col min="14597" max="14597" width="9.140625" style="36" customWidth="1"/>
    <col min="14598" max="14598" width="8.5703125" style="36" customWidth="1"/>
    <col min="14599" max="14600" width="0.42578125" style="36" customWidth="1"/>
    <col min="14601" max="14601" width="9.140625" style="36" customWidth="1"/>
    <col min="14602" max="14848" width="13.28515625" style="36"/>
    <col min="14849" max="14849" width="0.42578125" style="36" customWidth="1"/>
    <col min="14850" max="14850" width="6.85546875" style="36" customWidth="1"/>
    <col min="14851" max="14851" width="14.7109375" style="36" customWidth="1"/>
    <col min="14852" max="14852" width="61.7109375" style="36" customWidth="1"/>
    <col min="14853" max="14853" width="9.140625" style="36" customWidth="1"/>
    <col min="14854" max="14854" width="8.5703125" style="36" customWidth="1"/>
    <col min="14855" max="14856" width="0.42578125" style="36" customWidth="1"/>
    <col min="14857" max="14857" width="9.140625" style="36" customWidth="1"/>
    <col min="14858" max="15104" width="13.28515625" style="36"/>
    <col min="15105" max="15105" width="0.42578125" style="36" customWidth="1"/>
    <col min="15106" max="15106" width="6.85546875" style="36" customWidth="1"/>
    <col min="15107" max="15107" width="14.7109375" style="36" customWidth="1"/>
    <col min="15108" max="15108" width="61.7109375" style="36" customWidth="1"/>
    <col min="15109" max="15109" width="9.140625" style="36" customWidth="1"/>
    <col min="15110" max="15110" width="8.5703125" style="36" customWidth="1"/>
    <col min="15111" max="15112" width="0.42578125" style="36" customWidth="1"/>
    <col min="15113" max="15113" width="9.140625" style="36" customWidth="1"/>
    <col min="15114" max="15360" width="13.28515625" style="36"/>
    <col min="15361" max="15361" width="0.42578125" style="36" customWidth="1"/>
    <col min="15362" max="15362" width="6.85546875" style="36" customWidth="1"/>
    <col min="15363" max="15363" width="14.7109375" style="36" customWidth="1"/>
    <col min="15364" max="15364" width="61.7109375" style="36" customWidth="1"/>
    <col min="15365" max="15365" width="9.140625" style="36" customWidth="1"/>
    <col min="15366" max="15366" width="8.5703125" style="36" customWidth="1"/>
    <col min="15367" max="15368" width="0.42578125" style="36" customWidth="1"/>
    <col min="15369" max="15369" width="9.140625" style="36" customWidth="1"/>
    <col min="15370" max="15616" width="13.28515625" style="36"/>
    <col min="15617" max="15617" width="0.42578125" style="36" customWidth="1"/>
    <col min="15618" max="15618" width="6.85546875" style="36" customWidth="1"/>
    <col min="15619" max="15619" width="14.7109375" style="36" customWidth="1"/>
    <col min="15620" max="15620" width="61.7109375" style="36" customWidth="1"/>
    <col min="15621" max="15621" width="9.140625" style="36" customWidth="1"/>
    <col min="15622" max="15622" width="8.5703125" style="36" customWidth="1"/>
    <col min="15623" max="15624" width="0.42578125" style="36" customWidth="1"/>
    <col min="15625" max="15625" width="9.140625" style="36" customWidth="1"/>
    <col min="15626" max="15872" width="13.28515625" style="36"/>
    <col min="15873" max="15873" width="0.42578125" style="36" customWidth="1"/>
    <col min="15874" max="15874" width="6.85546875" style="36" customWidth="1"/>
    <col min="15875" max="15875" width="14.7109375" style="36" customWidth="1"/>
    <col min="15876" max="15876" width="61.7109375" style="36" customWidth="1"/>
    <col min="15877" max="15877" width="9.140625" style="36" customWidth="1"/>
    <col min="15878" max="15878" width="8.5703125" style="36" customWidth="1"/>
    <col min="15879" max="15880" width="0.42578125" style="36" customWidth="1"/>
    <col min="15881" max="15881" width="9.140625" style="36" customWidth="1"/>
    <col min="15882" max="16128" width="13.28515625" style="36"/>
    <col min="16129" max="16129" width="0.42578125" style="36" customWidth="1"/>
    <col min="16130" max="16130" width="6.85546875" style="36" customWidth="1"/>
    <col min="16131" max="16131" width="14.7109375" style="36" customWidth="1"/>
    <col min="16132" max="16132" width="61.7109375" style="36" customWidth="1"/>
    <col min="16133" max="16133" width="9.140625" style="36" customWidth="1"/>
    <col min="16134" max="16134" width="8.5703125" style="36" customWidth="1"/>
    <col min="16135" max="16136" width="0.42578125" style="36" customWidth="1"/>
    <col min="16137" max="16137" width="9.140625" style="36" customWidth="1"/>
    <col min="16138" max="16384" width="13.28515625" style="36"/>
  </cols>
  <sheetData>
    <row r="1" spans="3:7" ht="2.1" customHeight="1" x14ac:dyDescent="0.2">
      <c r="G1" s="36" t="s">
        <v>46</v>
      </c>
    </row>
    <row r="2" spans="3:7" ht="19.899999999999999" customHeight="1" x14ac:dyDescent="0.2"/>
    <row r="3" spans="3:7" ht="12.75" customHeight="1" x14ac:dyDescent="0.2">
      <c r="C3" s="37" t="s">
        <v>46</v>
      </c>
      <c r="D3" s="37"/>
      <c r="E3" s="37"/>
    </row>
    <row r="4" spans="3:7" ht="3.2" customHeight="1" x14ac:dyDescent="0.2">
      <c r="C4" s="37"/>
      <c r="D4" s="37"/>
      <c r="E4" s="37"/>
    </row>
    <row r="5" spans="3:7" ht="15" customHeight="1" x14ac:dyDescent="0.25">
      <c r="C5" s="38" t="s">
        <v>47</v>
      </c>
      <c r="D5" s="38"/>
      <c r="E5" s="38"/>
    </row>
    <row r="6" spans="3:7" ht="17.25" customHeight="1" x14ac:dyDescent="0.25">
      <c r="C6" s="39" t="s">
        <v>48</v>
      </c>
      <c r="D6" s="39"/>
      <c r="E6" s="39"/>
    </row>
    <row r="7" spans="3:7" ht="17.25" customHeight="1" x14ac:dyDescent="0.25">
      <c r="C7" s="39" t="s">
        <v>49</v>
      </c>
      <c r="D7" s="39"/>
      <c r="E7" s="39"/>
    </row>
    <row r="8" spans="3:7" ht="17.25" customHeight="1" x14ac:dyDescent="0.25">
      <c r="C8" s="39" t="s">
        <v>50</v>
      </c>
      <c r="D8" s="39"/>
      <c r="E8" s="39"/>
    </row>
    <row r="9" spans="3:7" ht="12.75" customHeight="1" x14ac:dyDescent="0.25">
      <c r="C9" s="39" t="s">
        <v>49</v>
      </c>
      <c r="D9" s="39"/>
      <c r="E9" s="39"/>
    </row>
    <row r="10" spans="3:7" ht="21.6" customHeight="1" x14ac:dyDescent="0.3">
      <c r="C10" s="40" t="s">
        <v>141</v>
      </c>
      <c r="D10" s="40"/>
      <c r="E10" s="41"/>
    </row>
    <row r="11" spans="3:7" ht="5.45" customHeight="1" x14ac:dyDescent="0.3">
      <c r="C11" s="40"/>
      <c r="D11" s="40"/>
      <c r="E11" s="40"/>
    </row>
    <row r="12" spans="3:7" ht="12.75" customHeight="1" x14ac:dyDescent="0.2">
      <c r="C12" s="42" t="s">
        <v>52</v>
      </c>
      <c r="D12" s="42"/>
      <c r="E12" s="43"/>
    </row>
    <row r="13" spans="3:7" ht="5.45" customHeight="1" x14ac:dyDescent="0.2"/>
    <row r="15" spans="3:7" ht="12.75" customHeight="1" x14ac:dyDescent="0.2">
      <c r="C15" s="44" t="s">
        <v>142</v>
      </c>
      <c r="D15" s="44"/>
      <c r="E15" s="45" t="s">
        <v>49</v>
      </c>
    </row>
    <row r="16" spans="3:7" ht="10.9" customHeight="1" x14ac:dyDescent="0.2">
      <c r="C16" s="74" t="s">
        <v>46</v>
      </c>
      <c r="D16" s="74"/>
      <c r="E16" s="75" t="s">
        <v>49</v>
      </c>
    </row>
    <row r="17" spans="1:5" ht="10.9" customHeight="1" x14ac:dyDescent="0.2">
      <c r="C17" s="46" t="s">
        <v>143</v>
      </c>
      <c r="D17" s="46"/>
      <c r="E17" s="88">
        <v>14000</v>
      </c>
    </row>
    <row r="18" spans="1:5" ht="10.9" customHeight="1" x14ac:dyDescent="0.2">
      <c r="C18" s="46" t="s">
        <v>144</v>
      </c>
      <c r="D18" s="46"/>
      <c r="E18" s="88">
        <v>5500</v>
      </c>
    </row>
    <row r="19" spans="1:5" ht="10.9" customHeight="1" x14ac:dyDescent="0.2">
      <c r="C19" s="46" t="s">
        <v>145</v>
      </c>
      <c r="D19" s="46"/>
      <c r="E19" s="88">
        <v>725</v>
      </c>
    </row>
    <row r="20" spans="1:5" ht="10.9" customHeight="1" x14ac:dyDescent="0.2">
      <c r="C20" s="46" t="s">
        <v>146</v>
      </c>
      <c r="D20" s="46"/>
      <c r="E20" s="88">
        <v>321</v>
      </c>
    </row>
    <row r="21" spans="1:5" ht="10.9" customHeight="1" x14ac:dyDescent="0.2">
      <c r="C21" s="46" t="s">
        <v>147</v>
      </c>
      <c r="D21" s="46"/>
      <c r="E21" s="88">
        <v>6200</v>
      </c>
    </row>
    <row r="22" spans="1:5" ht="10.9" customHeight="1" x14ac:dyDescent="0.2">
      <c r="C22" s="49" t="s">
        <v>46</v>
      </c>
      <c r="D22" s="49"/>
      <c r="E22" s="50" t="s">
        <v>49</v>
      </c>
    </row>
    <row r="23" spans="1:5" ht="10.9" customHeight="1" x14ac:dyDescent="0.2">
      <c r="C23" s="51" t="s">
        <v>148</v>
      </c>
      <c r="D23" s="51"/>
      <c r="E23" s="89">
        <v>26746</v>
      </c>
    </row>
    <row r="24" spans="1:5" ht="31.9" customHeight="1" x14ac:dyDescent="0.2"/>
    <row r="25" spans="1:5" ht="399.75" customHeight="1" x14ac:dyDescent="0.2"/>
    <row r="26" spans="1:5" ht="12.75" customHeight="1" x14ac:dyDescent="0.2">
      <c r="C26" s="54" t="s">
        <v>63</v>
      </c>
      <c r="D26" s="54"/>
      <c r="E26" s="54"/>
    </row>
    <row r="27" spans="1:5" ht="12.75" customHeight="1" x14ac:dyDescent="0.3">
      <c r="C27" s="55"/>
      <c r="D27" s="55"/>
      <c r="E27" s="55"/>
    </row>
    <row r="28" spans="1:5" ht="18.75" customHeight="1" x14ac:dyDescent="0.3">
      <c r="C28" s="56" t="s">
        <v>0</v>
      </c>
      <c r="D28" s="56"/>
      <c r="E28" s="56"/>
    </row>
    <row r="29" spans="1:5" ht="12.75" customHeight="1" x14ac:dyDescent="0.2">
      <c r="C29" s="57" t="s">
        <v>64</v>
      </c>
      <c r="D29" s="57"/>
      <c r="E29" s="58" t="s">
        <v>149</v>
      </c>
    </row>
    <row r="31" spans="1:5" ht="2.1" customHeight="1" x14ac:dyDescent="0.2">
      <c r="A31" s="36" t="s">
        <v>46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5887"/>
  <sheetViews>
    <sheetView workbookViewId="0"/>
  </sheetViews>
  <sheetFormatPr defaultRowHeight="15" x14ac:dyDescent="0.25"/>
  <cols>
    <col min="1" max="1" width="9.7109375" style="1" bestFit="1" customWidth="1"/>
    <col min="2" max="2" width="49.5703125" style="1" customWidth="1"/>
    <col min="3" max="3" width="10.42578125" style="1" customWidth="1"/>
    <col min="4" max="4" width="11.140625" style="1" customWidth="1"/>
    <col min="5" max="5" width="16.28515625" style="1" customWidth="1"/>
    <col min="6" max="6" width="19.85546875" style="1" customWidth="1"/>
    <col min="7" max="7" width="11.140625" style="1" bestFit="1" customWidth="1"/>
    <col min="8" max="30" width="9.140625" style="1"/>
    <col min="31" max="31" width="9.7109375" bestFit="1" customWidth="1"/>
    <col min="32" max="33" width="81.140625" bestFit="1" customWidth="1"/>
    <col min="34" max="34" width="12" bestFit="1" customWidth="1"/>
    <col min="35" max="35" width="11.140625" bestFit="1" customWidth="1"/>
  </cols>
  <sheetData>
    <row r="1" spans="1:30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30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5">
      <c r="A2" s="1">
        <v>36587</v>
      </c>
      <c r="B2" s="1" t="s">
        <v>44</v>
      </c>
      <c r="C2" s="1">
        <v>1055000</v>
      </c>
      <c r="D2" s="1" t="s">
        <v>45</v>
      </c>
      <c r="E2" s="1" t="s">
        <v>41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25"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x14ac:dyDescent="0.25"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5"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5"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5"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5"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5"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5"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5"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25"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25"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25"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25"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25"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8:30" x14ac:dyDescent="0.25"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8:30" x14ac:dyDescent="0.25"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8:30" x14ac:dyDescent="0.25"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8:30" x14ac:dyDescent="0.25"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8:30" x14ac:dyDescent="0.25"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8:30" x14ac:dyDescent="0.25"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8:30" x14ac:dyDescent="0.25"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8:30" x14ac:dyDescent="0.25"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8:30" x14ac:dyDescent="0.25"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8:30" x14ac:dyDescent="0.25"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8:30" x14ac:dyDescent="0.25"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8:30" x14ac:dyDescent="0.25"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8:30" x14ac:dyDescent="0.25"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8:30" x14ac:dyDescent="0.25"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8:30" x14ac:dyDescent="0.25"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8:30" x14ac:dyDescent="0.25"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8:30" x14ac:dyDescent="0.2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8:30" x14ac:dyDescent="0.2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8:30" x14ac:dyDescent="0.2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8:30" x14ac:dyDescent="0.2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8:30" x14ac:dyDescent="0.2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8:30" x14ac:dyDescent="0.2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8:30" x14ac:dyDescent="0.2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8:30" x14ac:dyDescent="0.2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8:30" x14ac:dyDescent="0.2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8:30" x14ac:dyDescent="0.2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8:30" x14ac:dyDescent="0.25"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8:30" x14ac:dyDescent="0.2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8:30" x14ac:dyDescent="0.2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8:30" x14ac:dyDescent="0.2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8:30" x14ac:dyDescent="0.2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8:30" x14ac:dyDescent="0.2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8:30" x14ac:dyDescent="0.2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8:30" x14ac:dyDescent="0.2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8:30" x14ac:dyDescent="0.2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8:30" x14ac:dyDescent="0.2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8:30" x14ac:dyDescent="0.2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8:30" x14ac:dyDescent="0.2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8:30" x14ac:dyDescent="0.2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8:30" x14ac:dyDescent="0.2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8:30" x14ac:dyDescent="0.2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8:30" x14ac:dyDescent="0.2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8:30" x14ac:dyDescent="0.2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8:30" x14ac:dyDescent="0.2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8:30" x14ac:dyDescent="0.25"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8:30" x14ac:dyDescent="0.25"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8:30" x14ac:dyDescent="0.25"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8:30" x14ac:dyDescent="0.25"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8:30" x14ac:dyDescent="0.25"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8:30" x14ac:dyDescent="0.25"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8:30" x14ac:dyDescent="0.25"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8:30" x14ac:dyDescent="0.25"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8:30" x14ac:dyDescent="0.25"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8:30" x14ac:dyDescent="0.25"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8:30" x14ac:dyDescent="0.25"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8:30" x14ac:dyDescent="0.25"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8:30" x14ac:dyDescent="0.25"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8:30" x14ac:dyDescent="0.25"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8:30" x14ac:dyDescent="0.25"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8:30" x14ac:dyDescent="0.25"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8:30" x14ac:dyDescent="0.25"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8:30" x14ac:dyDescent="0.25"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8:30" x14ac:dyDescent="0.25"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8:30" x14ac:dyDescent="0.25"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8:30" x14ac:dyDescent="0.25"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8:30" x14ac:dyDescent="0.25"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8:30" x14ac:dyDescent="0.25"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8:30" x14ac:dyDescent="0.25"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8:30" x14ac:dyDescent="0.25"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8:30" x14ac:dyDescent="0.25"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8:30" x14ac:dyDescent="0.25"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8:30" x14ac:dyDescent="0.25"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8:30" x14ac:dyDescent="0.25"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8:30" x14ac:dyDescent="0.25"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8:30" x14ac:dyDescent="0.25"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8:30" x14ac:dyDescent="0.25"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8:30" x14ac:dyDescent="0.25"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8:30" x14ac:dyDescent="0.25"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8:30" x14ac:dyDescent="0.25"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8:30" x14ac:dyDescent="0.25"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8:30" x14ac:dyDescent="0.25"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8:30" x14ac:dyDescent="0.25"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8:30" x14ac:dyDescent="0.25"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8:30" x14ac:dyDescent="0.25"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8:30" x14ac:dyDescent="0.25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8:30" x14ac:dyDescent="0.25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8:30" x14ac:dyDescent="0.25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8:30" x14ac:dyDescent="0.25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8:30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8:30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8:30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8:30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8:30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8:30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8:30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8:30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8:30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8:30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8:30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8:30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8:30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8:30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8:30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8:30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8:30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8:30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8:30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8:30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8:30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8:30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8:30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8:30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8:30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8:30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8:30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8:30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8:30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8:30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8:30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8:30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8:30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8:30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8:30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8:30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8:30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8:30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8:30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8:30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8:30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8:30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8:30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8:30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8:30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8:30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8:30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8:30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8:30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8:30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8:30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8:30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8:30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8:30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8:30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8:30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8:30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8:30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8:30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8:30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8:30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8:30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8:30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8:30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8:30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8:30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8:30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8:30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8:30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8:30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8:30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8:30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8:30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8:30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8:30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8:30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8:30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8:30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8:30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8:30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8:30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8:30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8:30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8:30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8:30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8:30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8:30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8:30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8:30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8:30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8:30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8:30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8:30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8:30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8:30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8:30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8:30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8:30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8:30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8:30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8:30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8:30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8:30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8:30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8:30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8:30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8:30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8:30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8:30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8:30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8:30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8:30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8:30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8:30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8:30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8:30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8:30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8:30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8:30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8:30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8:30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8:30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8:30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8:30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8:30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8:30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8:30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8:30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8:30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8:30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8:30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8:30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8:30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8:30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8:30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8:30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8:30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8:30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8:30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8:30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8:30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8:30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8:30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8:30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8:30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8:30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8:30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8:30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8:30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8:30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8:30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8:30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8:30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8:30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8:30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8:30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8:30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8:30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8:30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8:30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8:30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8:30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8:30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8:30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8:30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8:30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8:30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8:30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8:30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8:30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8:30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8:30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8:30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8:30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8:30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8:30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8:30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8:30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8:30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8:30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8:30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8:30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8:30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8:30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8:30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8:30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8:30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8:30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8:30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8:30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8:30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8:30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8:30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8:30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8:30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8:30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8:30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8:30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8:30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8:30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8:30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8:30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8:30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8:30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8:30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8:30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8:30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8:30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8:30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8:30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8:30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8:30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8:30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8:30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8:30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8:30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8:30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8:30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8:30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8:30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8:30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8:30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8:30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8:30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8:30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8:30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8:30" x14ac:dyDescent="0.25"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8:30" x14ac:dyDescent="0.25"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8:30" x14ac:dyDescent="0.25"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8:30" x14ac:dyDescent="0.25"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8:30" x14ac:dyDescent="0.25"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8:30" x14ac:dyDescent="0.25"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8:30" x14ac:dyDescent="0.25"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8:30" x14ac:dyDescent="0.25"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8:30" x14ac:dyDescent="0.25"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8:30" x14ac:dyDescent="0.25"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8:30" x14ac:dyDescent="0.25"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8:30" x14ac:dyDescent="0.25"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8:30" x14ac:dyDescent="0.25"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8:30" x14ac:dyDescent="0.25"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8:30" x14ac:dyDescent="0.25"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8:30" x14ac:dyDescent="0.25"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8:30" x14ac:dyDescent="0.25"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8:30" x14ac:dyDescent="0.25"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8:30" x14ac:dyDescent="0.25"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8:30" x14ac:dyDescent="0.25"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8:30" x14ac:dyDescent="0.25"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8:30" x14ac:dyDescent="0.25"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8:30" x14ac:dyDescent="0.25"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8:30" x14ac:dyDescent="0.25"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8:30" x14ac:dyDescent="0.25"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8:30" x14ac:dyDescent="0.25"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8:30" x14ac:dyDescent="0.25"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8:30" x14ac:dyDescent="0.25"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8:30" x14ac:dyDescent="0.25"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8:30" x14ac:dyDescent="0.25"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8:30" x14ac:dyDescent="0.25"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8:30" x14ac:dyDescent="0.25"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8:30" x14ac:dyDescent="0.25"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8:30" x14ac:dyDescent="0.25"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8:30" x14ac:dyDescent="0.25"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8:30" x14ac:dyDescent="0.25"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8:30" x14ac:dyDescent="0.25"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8:30" x14ac:dyDescent="0.25"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8:30" x14ac:dyDescent="0.25"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8:30" x14ac:dyDescent="0.25"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8:30" x14ac:dyDescent="0.25"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8:30" x14ac:dyDescent="0.25"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8:30" x14ac:dyDescent="0.25"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8:30" x14ac:dyDescent="0.25"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8:30" x14ac:dyDescent="0.25"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8:30" x14ac:dyDescent="0.25"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8:30" x14ac:dyDescent="0.25"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8:30" x14ac:dyDescent="0.25"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8:30" x14ac:dyDescent="0.25"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8:30" x14ac:dyDescent="0.25"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8:30" x14ac:dyDescent="0.25"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8:30" x14ac:dyDescent="0.25"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8:30" x14ac:dyDescent="0.25"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8:30" x14ac:dyDescent="0.25"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8:30" x14ac:dyDescent="0.25"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8:30" x14ac:dyDescent="0.25"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8:30" x14ac:dyDescent="0.25"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8:30" x14ac:dyDescent="0.25"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8:30" x14ac:dyDescent="0.25"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8:30" x14ac:dyDescent="0.25"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8:30" x14ac:dyDescent="0.25"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8:30" x14ac:dyDescent="0.25"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8:30" x14ac:dyDescent="0.25"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8:30" x14ac:dyDescent="0.25"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8:30" x14ac:dyDescent="0.25"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8:30" x14ac:dyDescent="0.25"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8:30" x14ac:dyDescent="0.25"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8:30" x14ac:dyDescent="0.25"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8:30" x14ac:dyDescent="0.25"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8:30" x14ac:dyDescent="0.25"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8:30" x14ac:dyDescent="0.25"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8:30" x14ac:dyDescent="0.25"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8:30" x14ac:dyDescent="0.25"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8:30" x14ac:dyDescent="0.25"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8:30" x14ac:dyDescent="0.25"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8:30" x14ac:dyDescent="0.25"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8:30" x14ac:dyDescent="0.25"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8:30" x14ac:dyDescent="0.25"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8:30" x14ac:dyDescent="0.25"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8:30" x14ac:dyDescent="0.25"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8:30" x14ac:dyDescent="0.25"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8:30" x14ac:dyDescent="0.25"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8:30" x14ac:dyDescent="0.25"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8:30" x14ac:dyDescent="0.25"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8:30" x14ac:dyDescent="0.25"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8:30" x14ac:dyDescent="0.25"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8:30" x14ac:dyDescent="0.25"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8:30" x14ac:dyDescent="0.25"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8:30" x14ac:dyDescent="0.25"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8:30" x14ac:dyDescent="0.25"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8:30" x14ac:dyDescent="0.25"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8:30" x14ac:dyDescent="0.25"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8:30" x14ac:dyDescent="0.25"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8:30" x14ac:dyDescent="0.25"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8:30" x14ac:dyDescent="0.25"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8:30" x14ac:dyDescent="0.25"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8:30" x14ac:dyDescent="0.25"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8:30" x14ac:dyDescent="0.25"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8:30" x14ac:dyDescent="0.25"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8:30" x14ac:dyDescent="0.25"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8:30" x14ac:dyDescent="0.25"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8:30" x14ac:dyDescent="0.25"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8:30" x14ac:dyDescent="0.25"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8:30" x14ac:dyDescent="0.25"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8:30" x14ac:dyDescent="0.25"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8:30" x14ac:dyDescent="0.25"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8:30" x14ac:dyDescent="0.25"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8:30" x14ac:dyDescent="0.25"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8:30" x14ac:dyDescent="0.25"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8:30" x14ac:dyDescent="0.25"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8:30" x14ac:dyDescent="0.25"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8:30" x14ac:dyDescent="0.25"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8:30" x14ac:dyDescent="0.25"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8:30" x14ac:dyDescent="0.25"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8:30" x14ac:dyDescent="0.25"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8:30" x14ac:dyDescent="0.25"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8:30" x14ac:dyDescent="0.25"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8:30" x14ac:dyDescent="0.25"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8:30" x14ac:dyDescent="0.25"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8:30" x14ac:dyDescent="0.25"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8:30" x14ac:dyDescent="0.25"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8:30" x14ac:dyDescent="0.25"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8:30" x14ac:dyDescent="0.25"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8:30" x14ac:dyDescent="0.25"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8:30" x14ac:dyDescent="0.25"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8:30" x14ac:dyDescent="0.25"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8:30" x14ac:dyDescent="0.25"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8:30" x14ac:dyDescent="0.25"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8:30" x14ac:dyDescent="0.25"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8:30" x14ac:dyDescent="0.25"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8:30" x14ac:dyDescent="0.25"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8:30" x14ac:dyDescent="0.25"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8:30" x14ac:dyDescent="0.25"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8:30" x14ac:dyDescent="0.25"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8:30" x14ac:dyDescent="0.25"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8:30" x14ac:dyDescent="0.25"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8:30" x14ac:dyDescent="0.25"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8:30" x14ac:dyDescent="0.25"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8:30" x14ac:dyDescent="0.25"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8:30" x14ac:dyDescent="0.25"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8:30" x14ac:dyDescent="0.25"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8:30" x14ac:dyDescent="0.25"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8:30" x14ac:dyDescent="0.25"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8:30" x14ac:dyDescent="0.25"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8:30" x14ac:dyDescent="0.25"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8:30" x14ac:dyDescent="0.25"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8:30" x14ac:dyDescent="0.25"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8:30" x14ac:dyDescent="0.25"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8:30" x14ac:dyDescent="0.25"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8:30" x14ac:dyDescent="0.25"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8:30" x14ac:dyDescent="0.25"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8:30" x14ac:dyDescent="0.25"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8:30" x14ac:dyDescent="0.25"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8:30" x14ac:dyDescent="0.25"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8:30" x14ac:dyDescent="0.25"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8:30" x14ac:dyDescent="0.25"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8:30" x14ac:dyDescent="0.25"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8:30" x14ac:dyDescent="0.25"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8:30" x14ac:dyDescent="0.25"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8:30" x14ac:dyDescent="0.25"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8:30" x14ac:dyDescent="0.25"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8:30" x14ac:dyDescent="0.25"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8:30" x14ac:dyDescent="0.25"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8:30" x14ac:dyDescent="0.25"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8:30" x14ac:dyDescent="0.25"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8:30" x14ac:dyDescent="0.25"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8:30" x14ac:dyDescent="0.25"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8:30" x14ac:dyDescent="0.25"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8:30" x14ac:dyDescent="0.25"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8:30" x14ac:dyDescent="0.25"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8:30" x14ac:dyDescent="0.25"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8:30" x14ac:dyDescent="0.25"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8:30" x14ac:dyDescent="0.25"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8:30" x14ac:dyDescent="0.25"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8:30" x14ac:dyDescent="0.25"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8:30" x14ac:dyDescent="0.25"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8:30" x14ac:dyDescent="0.25"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8:30" x14ac:dyDescent="0.25"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8:30" x14ac:dyDescent="0.25"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8:30" x14ac:dyDescent="0.25"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8:30" x14ac:dyDescent="0.25"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8:30" x14ac:dyDescent="0.25"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8:30" x14ac:dyDescent="0.25"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8:30" x14ac:dyDescent="0.25"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8:30" x14ac:dyDescent="0.25"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8:30" x14ac:dyDescent="0.25"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8:30" x14ac:dyDescent="0.25"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8:30" x14ac:dyDescent="0.25"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8:30" x14ac:dyDescent="0.25"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8:30" x14ac:dyDescent="0.25"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8:30" x14ac:dyDescent="0.25"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8:30" x14ac:dyDescent="0.25"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8:30" x14ac:dyDescent="0.25"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8:30" x14ac:dyDescent="0.25"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8:30" x14ac:dyDescent="0.25"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8:30" x14ac:dyDescent="0.25"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8:30" x14ac:dyDescent="0.25"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8:30" x14ac:dyDescent="0.25"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8:30" x14ac:dyDescent="0.25"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8:30" x14ac:dyDescent="0.25"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8:30" x14ac:dyDescent="0.25"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8:30" x14ac:dyDescent="0.25"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8:30" x14ac:dyDescent="0.25"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8:30" x14ac:dyDescent="0.25"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8:30" x14ac:dyDescent="0.25"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8:30" x14ac:dyDescent="0.25"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8:30" x14ac:dyDescent="0.25"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8:30" x14ac:dyDescent="0.25"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8:30" x14ac:dyDescent="0.25"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8:30" x14ac:dyDescent="0.25"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8:30" x14ac:dyDescent="0.25"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8:30" x14ac:dyDescent="0.25"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8:30" x14ac:dyDescent="0.25"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8:30" x14ac:dyDescent="0.25"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8:30" x14ac:dyDescent="0.25"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8:30" x14ac:dyDescent="0.25"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8:30" x14ac:dyDescent="0.25"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8:30" x14ac:dyDescent="0.25"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8:30" x14ac:dyDescent="0.25"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8:30" x14ac:dyDescent="0.25"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8:30" x14ac:dyDescent="0.25"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8:30" x14ac:dyDescent="0.25"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8:30" x14ac:dyDescent="0.25"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8:30" x14ac:dyDescent="0.25"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8:30" x14ac:dyDescent="0.25"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8:30" x14ac:dyDescent="0.25"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8:30" x14ac:dyDescent="0.25"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8:30" x14ac:dyDescent="0.25"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8:30" x14ac:dyDescent="0.25"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8:30" x14ac:dyDescent="0.25"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8:30" x14ac:dyDescent="0.25"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8:30" x14ac:dyDescent="0.25"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8:30" x14ac:dyDescent="0.25"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8:30" x14ac:dyDescent="0.25"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8:30" x14ac:dyDescent="0.25"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8:30" x14ac:dyDescent="0.25"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8:30" x14ac:dyDescent="0.25"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8:30" x14ac:dyDescent="0.25"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8:30" x14ac:dyDescent="0.25"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8:30" x14ac:dyDescent="0.25"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8:30" x14ac:dyDescent="0.25"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8:30" x14ac:dyDescent="0.25"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8:30" x14ac:dyDescent="0.25"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8:30" x14ac:dyDescent="0.25"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8:30" x14ac:dyDescent="0.25"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8:30" x14ac:dyDescent="0.25"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8:30" x14ac:dyDescent="0.25"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8:30" x14ac:dyDescent="0.25"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8:30" x14ac:dyDescent="0.25"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8:30" x14ac:dyDescent="0.25"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8:30" x14ac:dyDescent="0.25"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8:30" x14ac:dyDescent="0.25"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8:30" x14ac:dyDescent="0.25"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8:30" x14ac:dyDescent="0.25"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8:30" x14ac:dyDescent="0.25"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8:30" x14ac:dyDescent="0.25"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8:30" x14ac:dyDescent="0.25"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8:30" x14ac:dyDescent="0.25"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8:30" x14ac:dyDescent="0.25"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8:30" x14ac:dyDescent="0.25"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8:30" x14ac:dyDescent="0.25"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8:30" x14ac:dyDescent="0.25"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8:30" x14ac:dyDescent="0.25"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8:30" x14ac:dyDescent="0.25"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8:30" x14ac:dyDescent="0.25"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8:30" x14ac:dyDescent="0.25"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8:30" x14ac:dyDescent="0.25"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8:30" x14ac:dyDescent="0.25"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8:30" x14ac:dyDescent="0.25"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8:30" x14ac:dyDescent="0.25"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8:30" x14ac:dyDescent="0.25"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8:30" x14ac:dyDescent="0.25"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8:30" x14ac:dyDescent="0.25"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8:30" x14ac:dyDescent="0.25"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8:30" x14ac:dyDescent="0.25"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8:30" x14ac:dyDescent="0.25"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8:30" x14ac:dyDescent="0.25"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8:30" x14ac:dyDescent="0.25"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8:30" x14ac:dyDescent="0.25"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8:30" x14ac:dyDescent="0.25"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8:30" x14ac:dyDescent="0.25"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8:30" x14ac:dyDescent="0.25"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8:30" x14ac:dyDescent="0.25"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8:30" x14ac:dyDescent="0.25"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8:30" x14ac:dyDescent="0.25"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8:30" x14ac:dyDescent="0.25"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8:30" x14ac:dyDescent="0.25"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8:30" x14ac:dyDescent="0.25"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8:30" x14ac:dyDescent="0.25"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8:30" x14ac:dyDescent="0.25"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8:30" x14ac:dyDescent="0.25"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8:30" x14ac:dyDescent="0.25"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8:30" x14ac:dyDescent="0.25"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8:30" x14ac:dyDescent="0.25"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8:30" x14ac:dyDescent="0.25"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8:30" x14ac:dyDescent="0.25"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8:30" x14ac:dyDescent="0.25"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8:30" x14ac:dyDescent="0.25"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8:30" x14ac:dyDescent="0.25"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8:30" x14ac:dyDescent="0.25"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8:30" x14ac:dyDescent="0.25"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8:30" x14ac:dyDescent="0.25"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8:30" x14ac:dyDescent="0.25"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8:30" x14ac:dyDescent="0.25"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8:30" x14ac:dyDescent="0.25"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8:30" x14ac:dyDescent="0.25"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8:30" x14ac:dyDescent="0.25"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8:30" x14ac:dyDescent="0.25"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8:30" x14ac:dyDescent="0.25"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8:30" x14ac:dyDescent="0.25"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8:30" x14ac:dyDescent="0.25"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8:30" x14ac:dyDescent="0.25"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8:30" x14ac:dyDescent="0.25"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8:30" x14ac:dyDescent="0.25"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8:30" x14ac:dyDescent="0.25"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8:30" x14ac:dyDescent="0.25"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8:30" x14ac:dyDescent="0.25"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8:30" x14ac:dyDescent="0.25"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8:30" x14ac:dyDescent="0.25"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8:30" x14ac:dyDescent="0.25"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8:30" x14ac:dyDescent="0.25"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8:30" x14ac:dyDescent="0.25"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8:30" x14ac:dyDescent="0.25"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8:30" x14ac:dyDescent="0.25"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8:30" x14ac:dyDescent="0.25"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8:30" x14ac:dyDescent="0.25"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8:30" x14ac:dyDescent="0.25"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8:30" x14ac:dyDescent="0.25"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8:30" x14ac:dyDescent="0.25"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8:30" x14ac:dyDescent="0.25"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8:30" x14ac:dyDescent="0.25"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8:30" x14ac:dyDescent="0.25"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8:30" x14ac:dyDescent="0.25"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8:30" x14ac:dyDescent="0.25"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8:30" x14ac:dyDescent="0.25"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8:30" x14ac:dyDescent="0.25"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8:30" x14ac:dyDescent="0.25"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8:30" x14ac:dyDescent="0.25"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8:30" x14ac:dyDescent="0.25"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8:30" x14ac:dyDescent="0.25"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8:30" x14ac:dyDescent="0.25"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8:30" x14ac:dyDescent="0.25"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8:30" x14ac:dyDescent="0.25"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8:30" x14ac:dyDescent="0.25"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8:30" x14ac:dyDescent="0.25"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8:30" x14ac:dyDescent="0.25"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8:30" x14ac:dyDescent="0.25"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8:30" x14ac:dyDescent="0.25"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8:30" x14ac:dyDescent="0.25"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8:30" x14ac:dyDescent="0.25"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8:30" x14ac:dyDescent="0.25"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8:30" x14ac:dyDescent="0.25"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8:30" x14ac:dyDescent="0.25"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8:30" x14ac:dyDescent="0.25"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8:30" x14ac:dyDescent="0.25"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8:30" x14ac:dyDescent="0.25"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8:30" x14ac:dyDescent="0.25"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8:30" x14ac:dyDescent="0.25"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8:30" x14ac:dyDescent="0.25"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8:30" x14ac:dyDescent="0.25"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8:30" x14ac:dyDescent="0.25"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8:30" x14ac:dyDescent="0.25"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8:30" x14ac:dyDescent="0.25"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8:30" x14ac:dyDescent="0.25"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8:30" x14ac:dyDescent="0.25"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8:30" x14ac:dyDescent="0.25"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8:30" x14ac:dyDescent="0.25"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8:30" x14ac:dyDescent="0.25"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8:30" x14ac:dyDescent="0.25"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8:30" x14ac:dyDescent="0.25"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8:30" x14ac:dyDescent="0.25"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8:30" x14ac:dyDescent="0.25"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8:30" x14ac:dyDescent="0.25"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8:30" x14ac:dyDescent="0.25"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8:30" x14ac:dyDescent="0.25"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8:30" x14ac:dyDescent="0.25"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8:30" x14ac:dyDescent="0.25"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8:30" x14ac:dyDescent="0.25"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8:30" x14ac:dyDescent="0.25"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8:30" x14ac:dyDescent="0.25"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8:30" x14ac:dyDescent="0.25"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8:30" x14ac:dyDescent="0.25"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8:30" x14ac:dyDescent="0.25"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8:30" x14ac:dyDescent="0.25"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8:30" x14ac:dyDescent="0.25"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8:30" x14ac:dyDescent="0.25"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8:30" x14ac:dyDescent="0.25"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8:30" x14ac:dyDescent="0.25"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8:30" x14ac:dyDescent="0.25"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8:30" x14ac:dyDescent="0.25"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8:30" x14ac:dyDescent="0.25"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8:30" x14ac:dyDescent="0.25"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8:30" x14ac:dyDescent="0.25"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8:30" x14ac:dyDescent="0.25"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8:30" x14ac:dyDescent="0.25"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8:30" x14ac:dyDescent="0.25"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8:30" x14ac:dyDescent="0.25"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8:30" x14ac:dyDescent="0.25"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8:30" x14ac:dyDescent="0.25"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8:30" x14ac:dyDescent="0.25"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8:30" x14ac:dyDescent="0.25"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8:30" x14ac:dyDescent="0.25"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8:30" x14ac:dyDescent="0.25"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8:30" x14ac:dyDescent="0.25"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8:30" x14ac:dyDescent="0.25"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8:30" x14ac:dyDescent="0.25"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8:30" x14ac:dyDescent="0.25"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8:30" x14ac:dyDescent="0.25"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8:30" x14ac:dyDescent="0.25"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8:30" x14ac:dyDescent="0.25"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8:30" x14ac:dyDescent="0.25"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8:30" x14ac:dyDescent="0.25"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8:30" x14ac:dyDescent="0.25"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8:30" x14ac:dyDescent="0.25"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8:30" x14ac:dyDescent="0.25"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8:30" x14ac:dyDescent="0.25"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8:30" x14ac:dyDescent="0.25"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8:30" x14ac:dyDescent="0.25"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8:30" x14ac:dyDescent="0.25"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8:30" x14ac:dyDescent="0.25"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8:30" x14ac:dyDescent="0.25"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8:30" x14ac:dyDescent="0.25"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8:30" x14ac:dyDescent="0.25"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8:30" x14ac:dyDescent="0.25"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8:30" x14ac:dyDescent="0.25"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8:30" x14ac:dyDescent="0.25"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8:30" x14ac:dyDescent="0.25"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8:30" x14ac:dyDescent="0.25"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8:30" x14ac:dyDescent="0.25"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8:30" x14ac:dyDescent="0.25"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8:30" x14ac:dyDescent="0.25"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8:30" x14ac:dyDescent="0.25"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8:30" x14ac:dyDescent="0.25"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8:30" x14ac:dyDescent="0.25"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8:30" x14ac:dyDescent="0.25"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8:30" x14ac:dyDescent="0.25"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8:30" x14ac:dyDescent="0.25"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8:30" x14ac:dyDescent="0.25"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8:30" x14ac:dyDescent="0.25"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8:30" x14ac:dyDescent="0.25"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8:30" x14ac:dyDescent="0.25"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8:30" x14ac:dyDescent="0.25"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8:30" x14ac:dyDescent="0.25"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8:30" x14ac:dyDescent="0.25"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8:30" x14ac:dyDescent="0.25"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8:30" x14ac:dyDescent="0.25"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8:30" x14ac:dyDescent="0.25"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8:30" x14ac:dyDescent="0.25"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8:30" x14ac:dyDescent="0.25"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8:30" x14ac:dyDescent="0.25"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8:30" x14ac:dyDescent="0.25"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8:30" x14ac:dyDescent="0.25"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8:30" x14ac:dyDescent="0.25"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8:30" x14ac:dyDescent="0.25"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8:30" x14ac:dyDescent="0.25"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8:30" x14ac:dyDescent="0.25"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8:30" x14ac:dyDescent="0.25"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8:30" x14ac:dyDescent="0.25"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8:30" x14ac:dyDescent="0.25"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8:30" x14ac:dyDescent="0.25"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8:30" x14ac:dyDescent="0.25"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8:30" x14ac:dyDescent="0.25"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8:30" x14ac:dyDescent="0.25"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8:30" x14ac:dyDescent="0.25"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8:30" x14ac:dyDescent="0.25"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8:30" x14ac:dyDescent="0.25"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8:30" x14ac:dyDescent="0.25"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8:30" x14ac:dyDescent="0.25"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8:30" x14ac:dyDescent="0.25"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8:30" x14ac:dyDescent="0.25"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8:30" x14ac:dyDescent="0.25"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8:30" x14ac:dyDescent="0.25"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8:30" x14ac:dyDescent="0.25"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8:30" x14ac:dyDescent="0.25"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8:30" x14ac:dyDescent="0.25"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8:30" x14ac:dyDescent="0.25"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8:30" x14ac:dyDescent="0.25"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8:30" x14ac:dyDescent="0.25"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8:30" x14ac:dyDescent="0.25"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8:30" x14ac:dyDescent="0.25"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8:30" x14ac:dyDescent="0.25"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8:30" x14ac:dyDescent="0.25"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8:30" x14ac:dyDescent="0.25"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8:30" x14ac:dyDescent="0.25"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8:30" x14ac:dyDescent="0.25"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8:30" x14ac:dyDescent="0.25"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8:30" x14ac:dyDescent="0.25"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8:30" x14ac:dyDescent="0.25"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8:30" x14ac:dyDescent="0.25"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8:30" x14ac:dyDescent="0.25"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8:30" x14ac:dyDescent="0.25"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8:30" x14ac:dyDescent="0.25"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8:30" x14ac:dyDescent="0.25"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8:30" x14ac:dyDescent="0.25"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8:30" x14ac:dyDescent="0.25"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8:30" x14ac:dyDescent="0.25"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8:30" x14ac:dyDescent="0.25"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8:30" x14ac:dyDescent="0.25"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8:30" x14ac:dyDescent="0.25"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8:30" x14ac:dyDescent="0.25"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8:30" x14ac:dyDescent="0.25"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8:30" x14ac:dyDescent="0.25"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8:30" x14ac:dyDescent="0.25"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8:30" x14ac:dyDescent="0.25"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8:30" x14ac:dyDescent="0.25"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8:30" x14ac:dyDescent="0.25"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8:30" x14ac:dyDescent="0.25"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8:30" x14ac:dyDescent="0.25"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8:30" x14ac:dyDescent="0.25"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8:30" x14ac:dyDescent="0.25"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8:30" x14ac:dyDescent="0.25"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8:30" x14ac:dyDescent="0.25"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8:30" x14ac:dyDescent="0.25"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8:30" x14ac:dyDescent="0.25"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8:30" x14ac:dyDescent="0.25"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8:30" x14ac:dyDescent="0.25"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8:30" x14ac:dyDescent="0.25"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8:30" x14ac:dyDescent="0.25"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8:30" x14ac:dyDescent="0.25"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8:30" x14ac:dyDescent="0.25"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8:30" x14ac:dyDescent="0.25"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8:30" x14ac:dyDescent="0.25"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8:30" x14ac:dyDescent="0.25"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8:30" x14ac:dyDescent="0.25"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8:30" x14ac:dyDescent="0.25"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8:30" x14ac:dyDescent="0.25"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8:30" x14ac:dyDescent="0.25"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8:30" x14ac:dyDescent="0.25"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8:30" x14ac:dyDescent="0.25"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8:30" x14ac:dyDescent="0.25"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8:30" x14ac:dyDescent="0.25"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8:30" x14ac:dyDescent="0.25"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8:30" x14ac:dyDescent="0.25"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8:30" x14ac:dyDescent="0.25"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8:30" x14ac:dyDescent="0.25"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8:30" x14ac:dyDescent="0.25"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8:30" x14ac:dyDescent="0.25"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8:30" x14ac:dyDescent="0.25"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8:30" x14ac:dyDescent="0.25"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8:30" x14ac:dyDescent="0.25"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8:30" x14ac:dyDescent="0.25"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8:30" x14ac:dyDescent="0.25"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8:30" x14ac:dyDescent="0.25"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8:30" x14ac:dyDescent="0.25"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8:30" x14ac:dyDescent="0.25"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8:30" x14ac:dyDescent="0.25"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8:30" x14ac:dyDescent="0.25"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8:30" x14ac:dyDescent="0.25"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8:30" x14ac:dyDescent="0.25"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8:30" x14ac:dyDescent="0.25"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8:30" x14ac:dyDescent="0.25"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8:30" x14ac:dyDescent="0.25"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8:30" x14ac:dyDescent="0.25"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8:30" x14ac:dyDescent="0.25"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8:30" x14ac:dyDescent="0.25"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8:30" x14ac:dyDescent="0.25"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8:30" x14ac:dyDescent="0.25"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8:30" x14ac:dyDescent="0.25"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8:30" x14ac:dyDescent="0.25"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8:30" x14ac:dyDescent="0.25"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8:30" x14ac:dyDescent="0.25"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8:30" x14ac:dyDescent="0.25"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8:30" x14ac:dyDescent="0.25"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8:30" x14ac:dyDescent="0.25"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8:30" x14ac:dyDescent="0.25"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8:30" x14ac:dyDescent="0.25"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8:30" x14ac:dyDescent="0.25"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8:30" x14ac:dyDescent="0.25"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8:30" x14ac:dyDescent="0.25"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8:30" x14ac:dyDescent="0.25"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8:30" x14ac:dyDescent="0.25"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8:30" x14ac:dyDescent="0.25"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8:30" x14ac:dyDescent="0.25"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8:30" x14ac:dyDescent="0.25"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8:30" x14ac:dyDescent="0.25"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8:30" x14ac:dyDescent="0.25"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8:30" x14ac:dyDescent="0.25"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8:30" x14ac:dyDescent="0.25"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8:30" x14ac:dyDescent="0.25"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8:30" x14ac:dyDescent="0.25"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8:30" x14ac:dyDescent="0.25"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8:30" x14ac:dyDescent="0.25"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8:30" x14ac:dyDescent="0.25"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8:30" x14ac:dyDescent="0.25"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8:30" x14ac:dyDescent="0.25"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8:30" x14ac:dyDescent="0.25"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8:30" x14ac:dyDescent="0.25"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8:30" x14ac:dyDescent="0.25"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8:30" x14ac:dyDescent="0.25"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8:30" x14ac:dyDescent="0.25"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8:30" x14ac:dyDescent="0.25"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8:30" x14ac:dyDescent="0.25"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8:30" x14ac:dyDescent="0.25"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8:30" x14ac:dyDescent="0.25"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8:30" x14ac:dyDescent="0.25"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8:30" x14ac:dyDescent="0.25"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8:30" x14ac:dyDescent="0.25"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8:30" x14ac:dyDescent="0.25"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8:30" x14ac:dyDescent="0.25"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8:30" x14ac:dyDescent="0.25"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8:30" x14ac:dyDescent="0.25"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8:30" x14ac:dyDescent="0.25"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8:30" x14ac:dyDescent="0.25"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8:30" x14ac:dyDescent="0.25"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8:30" x14ac:dyDescent="0.25"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8:30" x14ac:dyDescent="0.25"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8:30" x14ac:dyDescent="0.25"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8:30" x14ac:dyDescent="0.25"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8:30" x14ac:dyDescent="0.25"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8:30" x14ac:dyDescent="0.25"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8:30" x14ac:dyDescent="0.25"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8:30" x14ac:dyDescent="0.25"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8:30" x14ac:dyDescent="0.25"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8:30" x14ac:dyDescent="0.25"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8:30" x14ac:dyDescent="0.25"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8:30" x14ac:dyDescent="0.25"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8:30" x14ac:dyDescent="0.25"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8:30" x14ac:dyDescent="0.25"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8:30" x14ac:dyDescent="0.25"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8:30" x14ac:dyDescent="0.25"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8:30" x14ac:dyDescent="0.25"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8:30" x14ac:dyDescent="0.25"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8:30" x14ac:dyDescent="0.25"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8:30" x14ac:dyDescent="0.25"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8:30" x14ac:dyDescent="0.25"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8:30" x14ac:dyDescent="0.25"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8:30" x14ac:dyDescent="0.25"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8:30" x14ac:dyDescent="0.25"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8:30" x14ac:dyDescent="0.25"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8:30" x14ac:dyDescent="0.25"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8:30" x14ac:dyDescent="0.25"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8:30" x14ac:dyDescent="0.25"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8:30" x14ac:dyDescent="0.25"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8:30" x14ac:dyDescent="0.25"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8:30" x14ac:dyDescent="0.25"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8:30" x14ac:dyDescent="0.25"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8:30" x14ac:dyDescent="0.25"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8:30" x14ac:dyDescent="0.25"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8:30" x14ac:dyDescent="0.25"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8:30" x14ac:dyDescent="0.25"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8:30" x14ac:dyDescent="0.25"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8:30" x14ac:dyDescent="0.25"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8:30" x14ac:dyDescent="0.25"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8:30" x14ac:dyDescent="0.25"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8:30" x14ac:dyDescent="0.25"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8:30" x14ac:dyDescent="0.25"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8:30" x14ac:dyDescent="0.25"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8:30" x14ac:dyDescent="0.25"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8:30" x14ac:dyDescent="0.25"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8:30" x14ac:dyDescent="0.25"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8:30" x14ac:dyDescent="0.25"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8:30" x14ac:dyDescent="0.25"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8:30" x14ac:dyDescent="0.25"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8:30" x14ac:dyDescent="0.25"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8:30" x14ac:dyDescent="0.25"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8:30" x14ac:dyDescent="0.25"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8:30" x14ac:dyDescent="0.25"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8:30" x14ac:dyDescent="0.25"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8:30" x14ac:dyDescent="0.25"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8:30" x14ac:dyDescent="0.25"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8:30" x14ac:dyDescent="0.25"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8:30" x14ac:dyDescent="0.25"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8:30" x14ac:dyDescent="0.25"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8:30" x14ac:dyDescent="0.25"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8:30" x14ac:dyDescent="0.25"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8:30" x14ac:dyDescent="0.25"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8:30" x14ac:dyDescent="0.25"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8:30" x14ac:dyDescent="0.25"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8:30" x14ac:dyDescent="0.25"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8:30" x14ac:dyDescent="0.25"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8:30" x14ac:dyDescent="0.25"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8:30" x14ac:dyDescent="0.25"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8:30" x14ac:dyDescent="0.25"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8:30" x14ac:dyDescent="0.25"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8:30" x14ac:dyDescent="0.25"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8:30" x14ac:dyDescent="0.25"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8:30" x14ac:dyDescent="0.25"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8:30" x14ac:dyDescent="0.25"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8:30" x14ac:dyDescent="0.25"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8:30" x14ac:dyDescent="0.25"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8:30" x14ac:dyDescent="0.25"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8:30" x14ac:dyDescent="0.25"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8:30" x14ac:dyDescent="0.25"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8:30" x14ac:dyDescent="0.25"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8:30" x14ac:dyDescent="0.25"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8:30" x14ac:dyDescent="0.25"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8:30" x14ac:dyDescent="0.25"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8:30" x14ac:dyDescent="0.25"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8:30" x14ac:dyDescent="0.25"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8:30" x14ac:dyDescent="0.25"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8:30" x14ac:dyDescent="0.25"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8:30" x14ac:dyDescent="0.25"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8:30" x14ac:dyDescent="0.25"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8:30" x14ac:dyDescent="0.25"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8:30" x14ac:dyDescent="0.25"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8:30" x14ac:dyDescent="0.25"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8:30" x14ac:dyDescent="0.25"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8:30" x14ac:dyDescent="0.25"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8:30" x14ac:dyDescent="0.25"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8:30" x14ac:dyDescent="0.25"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8:30" x14ac:dyDescent="0.25"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8:30" x14ac:dyDescent="0.25"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8:30" x14ac:dyDescent="0.25"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8:30" x14ac:dyDescent="0.25"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8:30" x14ac:dyDescent="0.25"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8:30" x14ac:dyDescent="0.25"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8:30" x14ac:dyDescent="0.25"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8:30" x14ac:dyDescent="0.25"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8:30" x14ac:dyDescent="0.25"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8:30" x14ac:dyDescent="0.25"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8:30" x14ac:dyDescent="0.25"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8:30" x14ac:dyDescent="0.25"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8:30" x14ac:dyDescent="0.25"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8:30" x14ac:dyDescent="0.25"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8:30" x14ac:dyDescent="0.25"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8:30" x14ac:dyDescent="0.25"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8:30" x14ac:dyDescent="0.25"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8:30" x14ac:dyDescent="0.25"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8:30" x14ac:dyDescent="0.25"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8:30" x14ac:dyDescent="0.25"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8:30" x14ac:dyDescent="0.25"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8:30" x14ac:dyDescent="0.25"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8:30" x14ac:dyDescent="0.25"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8:30" x14ac:dyDescent="0.25"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8:30" x14ac:dyDescent="0.25"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8:30" x14ac:dyDescent="0.25"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8:30" x14ac:dyDescent="0.25"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8:30" x14ac:dyDescent="0.25"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8:30" x14ac:dyDescent="0.25"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8:30" x14ac:dyDescent="0.25"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8:30" x14ac:dyDescent="0.25"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8:30" x14ac:dyDescent="0.25"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8:30" x14ac:dyDescent="0.25"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8:30" x14ac:dyDescent="0.25"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8:30" x14ac:dyDescent="0.25"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8:30" x14ac:dyDescent="0.25"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8:30" x14ac:dyDescent="0.25"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8:30" x14ac:dyDescent="0.25"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8:30" x14ac:dyDescent="0.25"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8:30" x14ac:dyDescent="0.25"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8:30" x14ac:dyDescent="0.25"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8:30" x14ac:dyDescent="0.25"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8:30" x14ac:dyDescent="0.25"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8:30" x14ac:dyDescent="0.25"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8:30" x14ac:dyDescent="0.25"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8:30" x14ac:dyDescent="0.25"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8:30" x14ac:dyDescent="0.25"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8:30" x14ac:dyDescent="0.25"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8:30" x14ac:dyDescent="0.25"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8:30" x14ac:dyDescent="0.25"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8:30" x14ac:dyDescent="0.25"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8:30" x14ac:dyDescent="0.25"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8:30" x14ac:dyDescent="0.25"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8:30" x14ac:dyDescent="0.25"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8:30" x14ac:dyDescent="0.25"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8:30" x14ac:dyDescent="0.25"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8:30" x14ac:dyDescent="0.25"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8:30" x14ac:dyDescent="0.25"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8:30" x14ac:dyDescent="0.25"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8:30" x14ac:dyDescent="0.25"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8:30" x14ac:dyDescent="0.25"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8:30" x14ac:dyDescent="0.25"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8:30" x14ac:dyDescent="0.25"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8:30" x14ac:dyDescent="0.25"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8:30" x14ac:dyDescent="0.25"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8:30" x14ac:dyDescent="0.25"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8:30" x14ac:dyDescent="0.25"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8:30" x14ac:dyDescent="0.25"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8:30" x14ac:dyDescent="0.25"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8:30" x14ac:dyDescent="0.25"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8:30" x14ac:dyDescent="0.25"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8:30" x14ac:dyDescent="0.25"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8:30" x14ac:dyDescent="0.25"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8:30" x14ac:dyDescent="0.25"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8:30" x14ac:dyDescent="0.25"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8:30" x14ac:dyDescent="0.25"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8:30" x14ac:dyDescent="0.25"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8:30" x14ac:dyDescent="0.25"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8:30" x14ac:dyDescent="0.25"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8:30" x14ac:dyDescent="0.25"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8:30" x14ac:dyDescent="0.25"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8:30" x14ac:dyDescent="0.25"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8:30" x14ac:dyDescent="0.25"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8:30" x14ac:dyDescent="0.25"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8:30" x14ac:dyDescent="0.25"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8:30" x14ac:dyDescent="0.25"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8:30" x14ac:dyDescent="0.25"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8:30" x14ac:dyDescent="0.25"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8:30" x14ac:dyDescent="0.25"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8:30" x14ac:dyDescent="0.25"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8:30" x14ac:dyDescent="0.25"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8:30" x14ac:dyDescent="0.25"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8:30" x14ac:dyDescent="0.25"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8:30" x14ac:dyDescent="0.25"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8:30" x14ac:dyDescent="0.25"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8:30" x14ac:dyDescent="0.25"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8:30" x14ac:dyDescent="0.25"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8:30" x14ac:dyDescent="0.25"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8:30" x14ac:dyDescent="0.25"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8:30" x14ac:dyDescent="0.25"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8:30" x14ac:dyDescent="0.25"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8:30" x14ac:dyDescent="0.25"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8:30" x14ac:dyDescent="0.25"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8:30" x14ac:dyDescent="0.25"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8:30" x14ac:dyDescent="0.25"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8:30" x14ac:dyDescent="0.25"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8:30" x14ac:dyDescent="0.25"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8:30" x14ac:dyDescent="0.25"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8:30" x14ac:dyDescent="0.25"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8:30" x14ac:dyDescent="0.25"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8:30" x14ac:dyDescent="0.25"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8:30" x14ac:dyDescent="0.25"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8:30" x14ac:dyDescent="0.25"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8:30" x14ac:dyDescent="0.25"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8:30" x14ac:dyDescent="0.25"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8:30" x14ac:dyDescent="0.25"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8:30" x14ac:dyDescent="0.25"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8:30" x14ac:dyDescent="0.25"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8:30" x14ac:dyDescent="0.25"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8:30" x14ac:dyDescent="0.25"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8:30" x14ac:dyDescent="0.25"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8:30" x14ac:dyDescent="0.25"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8:30" x14ac:dyDescent="0.25"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8:30" x14ac:dyDescent="0.25"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8:30" x14ac:dyDescent="0.25"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8:30" x14ac:dyDescent="0.25"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8:30" x14ac:dyDescent="0.25"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8:30" x14ac:dyDescent="0.25"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8:30" x14ac:dyDescent="0.25"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8:30" x14ac:dyDescent="0.25"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8:30" x14ac:dyDescent="0.25"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8:30" x14ac:dyDescent="0.25"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8:30" x14ac:dyDescent="0.25"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8:30" x14ac:dyDescent="0.25"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8:30" x14ac:dyDescent="0.25"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8:30" x14ac:dyDescent="0.25"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8:30" x14ac:dyDescent="0.25"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8:30" x14ac:dyDescent="0.25"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8:30" x14ac:dyDescent="0.25"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8:30" x14ac:dyDescent="0.25"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8:30" x14ac:dyDescent="0.25"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8:30" x14ac:dyDescent="0.25"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8:30" x14ac:dyDescent="0.25"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8:30" x14ac:dyDescent="0.25"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8:30" x14ac:dyDescent="0.25"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8:30" x14ac:dyDescent="0.25"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8:30" x14ac:dyDescent="0.25"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8:30" x14ac:dyDescent="0.25"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8:30" x14ac:dyDescent="0.25"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8:30" x14ac:dyDescent="0.25"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8:30" x14ac:dyDescent="0.25"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8:30" x14ac:dyDescent="0.25"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8:30" x14ac:dyDescent="0.25"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8:30" x14ac:dyDescent="0.25"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8:30" x14ac:dyDescent="0.25"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8:30" x14ac:dyDescent="0.25"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8:30" x14ac:dyDescent="0.25"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8:30" x14ac:dyDescent="0.25"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8:30" x14ac:dyDescent="0.25"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8:30" x14ac:dyDescent="0.25"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8:30" x14ac:dyDescent="0.25"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8:30" x14ac:dyDescent="0.25"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8:30" x14ac:dyDescent="0.25"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8:30" x14ac:dyDescent="0.25"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8:30" x14ac:dyDescent="0.25"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8:30" x14ac:dyDescent="0.25"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8:30" x14ac:dyDescent="0.25"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8:30" x14ac:dyDescent="0.25"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8:30" x14ac:dyDescent="0.25"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8:30" x14ac:dyDescent="0.25"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8:30" x14ac:dyDescent="0.25"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8:30" x14ac:dyDescent="0.25"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8:30" x14ac:dyDescent="0.25"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8:30" x14ac:dyDescent="0.25"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8:30" x14ac:dyDescent="0.25"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8:30" x14ac:dyDescent="0.25"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8:30" x14ac:dyDescent="0.25"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8:30" x14ac:dyDescent="0.25"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8:30" x14ac:dyDescent="0.25"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8:30" x14ac:dyDescent="0.25"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8:30" x14ac:dyDescent="0.25"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8:30" x14ac:dyDescent="0.25"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8:30" x14ac:dyDescent="0.25"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8:30" x14ac:dyDescent="0.25"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8:30" x14ac:dyDescent="0.25"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8:30" x14ac:dyDescent="0.25"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8:30" x14ac:dyDescent="0.25"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8:30" x14ac:dyDescent="0.25"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8:30" x14ac:dyDescent="0.25"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8:30" x14ac:dyDescent="0.25"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8:30" x14ac:dyDescent="0.25"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8:30" x14ac:dyDescent="0.25"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8:30" x14ac:dyDescent="0.25"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8:30" x14ac:dyDescent="0.25"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8:30" x14ac:dyDescent="0.25"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8:30" x14ac:dyDescent="0.25"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8:30" x14ac:dyDescent="0.25"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8:30" x14ac:dyDescent="0.25"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8:30" x14ac:dyDescent="0.25"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8:30" x14ac:dyDescent="0.25"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8:30" x14ac:dyDescent="0.25"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8:30" x14ac:dyDescent="0.25"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8:30" x14ac:dyDescent="0.25"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8:30" x14ac:dyDescent="0.25"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8:30" x14ac:dyDescent="0.25"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8:30" x14ac:dyDescent="0.25"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8:30" x14ac:dyDescent="0.25"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8:30" x14ac:dyDescent="0.25"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8:30" x14ac:dyDescent="0.25"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8:30" x14ac:dyDescent="0.25"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8:30" x14ac:dyDescent="0.25"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8:30" x14ac:dyDescent="0.25"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8:30" x14ac:dyDescent="0.25"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8:30" x14ac:dyDescent="0.25"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8:30" x14ac:dyDescent="0.25"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8:30" x14ac:dyDescent="0.25"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8:30" x14ac:dyDescent="0.25"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8:30" x14ac:dyDescent="0.25"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8:30" x14ac:dyDescent="0.25"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8:30" x14ac:dyDescent="0.25"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8:30" x14ac:dyDescent="0.25"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8:30" x14ac:dyDescent="0.25"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8:30" x14ac:dyDescent="0.25"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8:30" x14ac:dyDescent="0.25"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8:30" x14ac:dyDescent="0.25"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8:30" x14ac:dyDescent="0.25"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8:30" x14ac:dyDescent="0.25"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8:30" x14ac:dyDescent="0.25"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8:30" x14ac:dyDescent="0.25"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8:30" x14ac:dyDescent="0.25"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8:30" x14ac:dyDescent="0.25"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8:30" x14ac:dyDescent="0.25"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8:30" x14ac:dyDescent="0.25"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8:30" x14ac:dyDescent="0.25"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8:30" x14ac:dyDescent="0.25"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8:30" x14ac:dyDescent="0.25"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8:30" x14ac:dyDescent="0.25"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8:30" x14ac:dyDescent="0.25"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8:30" x14ac:dyDescent="0.25"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8:30" x14ac:dyDescent="0.25"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8:30" x14ac:dyDescent="0.25"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8:30" x14ac:dyDescent="0.25"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8:30" x14ac:dyDescent="0.25"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8:30" x14ac:dyDescent="0.25"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8:30" x14ac:dyDescent="0.25"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8:30" x14ac:dyDescent="0.25"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8:30" x14ac:dyDescent="0.25"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8:30" x14ac:dyDescent="0.25"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8:30" x14ac:dyDescent="0.25"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8:30" x14ac:dyDescent="0.25"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8:30" x14ac:dyDescent="0.25"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8:30" x14ac:dyDescent="0.25"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8:30" x14ac:dyDescent="0.25"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8:30" x14ac:dyDescent="0.25"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8:30" x14ac:dyDescent="0.25"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8:30" x14ac:dyDescent="0.25"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8:30" x14ac:dyDescent="0.25"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8:30" x14ac:dyDescent="0.25"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8:30" x14ac:dyDescent="0.25"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8:30" x14ac:dyDescent="0.25"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8:30" x14ac:dyDescent="0.25"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8:30" x14ac:dyDescent="0.25"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8:30" x14ac:dyDescent="0.25"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8:30" x14ac:dyDescent="0.25"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8:30" x14ac:dyDescent="0.25"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8:30" x14ac:dyDescent="0.25"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8:30" x14ac:dyDescent="0.25"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8:30" x14ac:dyDescent="0.25"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8:30" x14ac:dyDescent="0.25"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8:30" x14ac:dyDescent="0.25"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8:30" x14ac:dyDescent="0.25"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8:30" x14ac:dyDescent="0.25"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8:30" x14ac:dyDescent="0.25"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8:30" x14ac:dyDescent="0.25"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8:30" x14ac:dyDescent="0.25"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8:30" x14ac:dyDescent="0.25"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8:30" x14ac:dyDescent="0.25"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8:30" x14ac:dyDescent="0.25"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8:30" x14ac:dyDescent="0.25"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8:30" x14ac:dyDescent="0.25"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8:30" x14ac:dyDescent="0.25"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8:30" x14ac:dyDescent="0.25"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8:30" x14ac:dyDescent="0.25"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8:30" x14ac:dyDescent="0.25"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8:30" x14ac:dyDescent="0.25"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8:30" x14ac:dyDescent="0.25"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8:30" x14ac:dyDescent="0.25"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8:30" x14ac:dyDescent="0.25"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8:30" x14ac:dyDescent="0.25"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8:30" x14ac:dyDescent="0.25"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8:30" x14ac:dyDescent="0.25"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8:30" x14ac:dyDescent="0.25"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8:30" x14ac:dyDescent="0.25"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8:30" x14ac:dyDescent="0.25"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8:30" x14ac:dyDescent="0.25"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8:30" x14ac:dyDescent="0.25"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8:30" x14ac:dyDescent="0.25"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8:30" x14ac:dyDescent="0.25"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8:30" x14ac:dyDescent="0.25"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8:30" x14ac:dyDescent="0.25"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8:30" x14ac:dyDescent="0.25"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8:30" x14ac:dyDescent="0.25"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8:30" x14ac:dyDescent="0.25"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8:30" x14ac:dyDescent="0.25"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8:30" x14ac:dyDescent="0.25"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8:30" x14ac:dyDescent="0.25"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8:30" x14ac:dyDescent="0.25"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8:30" x14ac:dyDescent="0.25"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8:30" x14ac:dyDescent="0.25"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8:30" x14ac:dyDescent="0.25"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8:30" x14ac:dyDescent="0.25"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8:30" x14ac:dyDescent="0.25"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8:30" x14ac:dyDescent="0.25"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8:30" x14ac:dyDescent="0.25"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8:30" x14ac:dyDescent="0.25"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8:30" x14ac:dyDescent="0.25"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8:30" x14ac:dyDescent="0.25"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8:30" x14ac:dyDescent="0.25"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8:30" x14ac:dyDescent="0.25"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8:30" x14ac:dyDescent="0.25"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8:30" x14ac:dyDescent="0.25"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8:30" x14ac:dyDescent="0.25"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8:30" x14ac:dyDescent="0.25"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8:30" x14ac:dyDescent="0.25"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8:30" x14ac:dyDescent="0.25"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8:30" x14ac:dyDescent="0.25"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8:30" x14ac:dyDescent="0.25"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8:30" x14ac:dyDescent="0.25"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8:30" x14ac:dyDescent="0.25"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8:30" x14ac:dyDescent="0.25"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8:30" x14ac:dyDescent="0.25"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8:30" x14ac:dyDescent="0.25"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8:30" x14ac:dyDescent="0.25"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8:30" x14ac:dyDescent="0.25"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8:30" x14ac:dyDescent="0.25"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8:30" x14ac:dyDescent="0.25"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8:30" x14ac:dyDescent="0.25"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8:30" x14ac:dyDescent="0.25"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8:30" x14ac:dyDescent="0.25"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8:30" x14ac:dyDescent="0.25"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8:30" x14ac:dyDescent="0.25"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8:30" x14ac:dyDescent="0.25"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8:30" x14ac:dyDescent="0.25"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8:30" x14ac:dyDescent="0.25"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8:30" x14ac:dyDescent="0.25"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8:30" x14ac:dyDescent="0.25"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8:30" x14ac:dyDescent="0.25"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8:30" x14ac:dyDescent="0.25"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8:30" x14ac:dyDescent="0.25"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8:30" x14ac:dyDescent="0.25"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8:30" x14ac:dyDescent="0.25"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8:30" x14ac:dyDescent="0.25"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8:30" x14ac:dyDescent="0.25"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8:30" x14ac:dyDescent="0.25"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8:30" x14ac:dyDescent="0.25"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8:30" x14ac:dyDescent="0.25"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8:30" x14ac:dyDescent="0.25"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8:30" x14ac:dyDescent="0.25"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8:30" x14ac:dyDescent="0.25"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8:30" x14ac:dyDescent="0.25"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8:30" x14ac:dyDescent="0.25"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8:30" x14ac:dyDescent="0.25"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8:30" x14ac:dyDescent="0.25"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8:30" x14ac:dyDescent="0.25"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8:30" x14ac:dyDescent="0.25"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8:30" x14ac:dyDescent="0.25"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8:30" x14ac:dyDescent="0.25"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8:30" x14ac:dyDescent="0.25"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8:30" x14ac:dyDescent="0.25"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8:30" x14ac:dyDescent="0.25"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8:30" x14ac:dyDescent="0.25"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8:30" x14ac:dyDescent="0.25"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8:30" x14ac:dyDescent="0.25"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8:30" x14ac:dyDescent="0.25"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8:30" x14ac:dyDescent="0.25"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8:30" x14ac:dyDescent="0.25"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8:30" x14ac:dyDescent="0.25"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8:30" x14ac:dyDescent="0.25"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8:30" x14ac:dyDescent="0.25"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8:30" x14ac:dyDescent="0.25"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8:30" x14ac:dyDescent="0.25"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8:30" x14ac:dyDescent="0.25"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8:30" x14ac:dyDescent="0.25"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8:30" x14ac:dyDescent="0.25"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8:30" x14ac:dyDescent="0.25"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8:30" x14ac:dyDescent="0.25"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8:30" x14ac:dyDescent="0.25"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8:30" x14ac:dyDescent="0.25"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8:30" x14ac:dyDescent="0.25"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8:30" x14ac:dyDescent="0.25"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8:30" x14ac:dyDescent="0.25"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8:30" x14ac:dyDescent="0.25"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8:30" x14ac:dyDescent="0.25"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8:30" x14ac:dyDescent="0.25"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8:30" x14ac:dyDescent="0.25"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8:30" x14ac:dyDescent="0.25"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8:30" x14ac:dyDescent="0.25"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8:30" x14ac:dyDescent="0.25"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8:30" x14ac:dyDescent="0.25"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8:30" x14ac:dyDescent="0.25"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8:30" x14ac:dyDescent="0.25"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8:30" x14ac:dyDescent="0.25"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8:30" x14ac:dyDescent="0.25"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8:30" x14ac:dyDescent="0.25"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8:30" x14ac:dyDescent="0.25"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8:30" x14ac:dyDescent="0.25"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8:30" x14ac:dyDescent="0.25"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8:30" x14ac:dyDescent="0.25"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8:30" x14ac:dyDescent="0.25"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8:30" x14ac:dyDescent="0.25"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8:30" x14ac:dyDescent="0.25"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8:30" x14ac:dyDescent="0.25"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8:30" x14ac:dyDescent="0.25"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8:30" x14ac:dyDescent="0.25"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8:30" x14ac:dyDescent="0.25"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8:30" x14ac:dyDescent="0.25"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8:30" x14ac:dyDescent="0.25"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8:30" x14ac:dyDescent="0.25"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8:30" x14ac:dyDescent="0.25"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8:30" x14ac:dyDescent="0.25"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8:30" x14ac:dyDescent="0.25"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8:30" x14ac:dyDescent="0.25"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8:30" x14ac:dyDescent="0.25"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8:30" x14ac:dyDescent="0.25"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8:30" x14ac:dyDescent="0.25"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8:30" x14ac:dyDescent="0.25"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8:30" x14ac:dyDescent="0.25"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8:30" x14ac:dyDescent="0.25"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8:30" x14ac:dyDescent="0.25"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8:30" x14ac:dyDescent="0.25"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8:30" x14ac:dyDescent="0.25"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8:30" x14ac:dyDescent="0.25"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8:30" x14ac:dyDescent="0.25"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8:30" x14ac:dyDescent="0.25"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8:30" x14ac:dyDescent="0.25"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8:30" x14ac:dyDescent="0.25"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8:30" x14ac:dyDescent="0.25"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8:30" x14ac:dyDescent="0.25"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8:30" x14ac:dyDescent="0.25"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8:30" x14ac:dyDescent="0.25"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8:30" x14ac:dyDescent="0.25"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8:30" x14ac:dyDescent="0.25"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8:30" x14ac:dyDescent="0.25"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8:30" x14ac:dyDescent="0.25"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8:30" x14ac:dyDescent="0.25"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8:30" x14ac:dyDescent="0.25"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8:30" x14ac:dyDescent="0.25"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8:30" x14ac:dyDescent="0.25"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8:30" x14ac:dyDescent="0.25"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8:30" x14ac:dyDescent="0.25"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8:30" x14ac:dyDescent="0.25"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8:30" x14ac:dyDescent="0.25"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8:30" x14ac:dyDescent="0.25"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8:30" x14ac:dyDescent="0.25"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8:30" x14ac:dyDescent="0.25"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8:30" x14ac:dyDescent="0.25"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8:30" x14ac:dyDescent="0.25"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8:30" x14ac:dyDescent="0.25"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8:30" x14ac:dyDescent="0.25"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8:30" x14ac:dyDescent="0.25"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8:30" x14ac:dyDescent="0.25"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8:30" x14ac:dyDescent="0.25"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8:30" x14ac:dyDescent="0.25"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8:30" x14ac:dyDescent="0.25"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8:30" x14ac:dyDescent="0.25"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8:30" x14ac:dyDescent="0.25"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8:30" x14ac:dyDescent="0.25"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8:30" x14ac:dyDescent="0.25"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8:30" x14ac:dyDescent="0.25"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8:30" x14ac:dyDescent="0.25"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8:30" x14ac:dyDescent="0.25"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8:30" x14ac:dyDescent="0.25"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8:30" x14ac:dyDescent="0.25"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8:30" x14ac:dyDescent="0.25"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8:30" x14ac:dyDescent="0.25"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8:30" x14ac:dyDescent="0.25"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8:30" x14ac:dyDescent="0.25"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8:30" x14ac:dyDescent="0.25"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8:30" x14ac:dyDescent="0.25"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8:30" x14ac:dyDescent="0.25"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8:30" x14ac:dyDescent="0.25"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8:30" x14ac:dyDescent="0.25"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8:30" x14ac:dyDescent="0.25"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8:30" x14ac:dyDescent="0.25"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8:30" x14ac:dyDescent="0.25"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8:30" x14ac:dyDescent="0.25"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8:30" x14ac:dyDescent="0.25"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8:30" x14ac:dyDescent="0.25"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8:30" x14ac:dyDescent="0.25"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8:30" x14ac:dyDescent="0.25"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8:30" x14ac:dyDescent="0.25"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8:30" x14ac:dyDescent="0.25"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8:30" x14ac:dyDescent="0.25"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8:30" x14ac:dyDescent="0.25"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8:30" x14ac:dyDescent="0.25"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8:30" x14ac:dyDescent="0.25"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8:30" x14ac:dyDescent="0.25"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8:30" x14ac:dyDescent="0.25"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8:30" x14ac:dyDescent="0.25"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8:30" x14ac:dyDescent="0.25"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8:30" x14ac:dyDescent="0.25"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8:30" x14ac:dyDescent="0.25"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8:30" x14ac:dyDescent="0.25"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8:30" x14ac:dyDescent="0.25"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8:30" x14ac:dyDescent="0.25"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8:30" x14ac:dyDescent="0.25"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8:30" x14ac:dyDescent="0.25"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8:30" x14ac:dyDescent="0.25"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8:30" x14ac:dyDescent="0.25"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8:30" x14ac:dyDescent="0.25"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8:30" x14ac:dyDescent="0.25"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8:30" x14ac:dyDescent="0.25"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8:30" x14ac:dyDescent="0.25"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8:30" x14ac:dyDescent="0.25"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8:30" x14ac:dyDescent="0.25"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8:30" x14ac:dyDescent="0.25"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8:30" x14ac:dyDescent="0.25"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8:30" x14ac:dyDescent="0.25"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8:30" x14ac:dyDescent="0.25"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8:30" x14ac:dyDescent="0.25"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8:30" x14ac:dyDescent="0.25"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8:30" x14ac:dyDescent="0.25"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8:30" x14ac:dyDescent="0.25"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8:30" x14ac:dyDescent="0.25"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8:30" x14ac:dyDescent="0.25"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8:30" x14ac:dyDescent="0.25"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8:30" x14ac:dyDescent="0.25"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8:30" x14ac:dyDescent="0.25"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8:30" x14ac:dyDescent="0.25"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8:30" x14ac:dyDescent="0.25"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8:30" x14ac:dyDescent="0.25"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8:30" x14ac:dyDescent="0.25"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8:30" x14ac:dyDescent="0.25"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8:30" x14ac:dyDescent="0.25"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8:30" x14ac:dyDescent="0.25"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8:30" x14ac:dyDescent="0.25"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8:30" x14ac:dyDescent="0.25"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8:30" x14ac:dyDescent="0.25"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8:30" x14ac:dyDescent="0.25"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8:30" x14ac:dyDescent="0.25"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8:30" x14ac:dyDescent="0.25"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8:30" x14ac:dyDescent="0.25"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8:30" x14ac:dyDescent="0.25"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8:30" x14ac:dyDescent="0.25"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8:30" x14ac:dyDescent="0.25"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8:30" x14ac:dyDescent="0.25"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8:30" x14ac:dyDescent="0.25"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8:30" x14ac:dyDescent="0.25"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8:30" x14ac:dyDescent="0.25"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8:30" x14ac:dyDescent="0.25"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8:30" x14ac:dyDescent="0.25"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8:30" x14ac:dyDescent="0.25"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8:30" x14ac:dyDescent="0.25"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8:30" x14ac:dyDescent="0.25"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8:30" x14ac:dyDescent="0.25"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8:30" x14ac:dyDescent="0.25"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8:30" x14ac:dyDescent="0.25"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8:30" x14ac:dyDescent="0.25"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8:30" x14ac:dyDescent="0.25"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8:30" x14ac:dyDescent="0.25"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8:30" x14ac:dyDescent="0.25"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8:30" x14ac:dyDescent="0.25"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8:30" x14ac:dyDescent="0.25"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8:30" x14ac:dyDescent="0.25"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8:30" x14ac:dyDescent="0.25"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8:30" x14ac:dyDescent="0.25"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8:30" x14ac:dyDescent="0.25"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8:30" x14ac:dyDescent="0.25"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8:30" x14ac:dyDescent="0.25"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8:30" x14ac:dyDescent="0.25"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8:30" x14ac:dyDescent="0.25"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8:30" x14ac:dyDescent="0.25"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8:30" x14ac:dyDescent="0.25"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8:30" x14ac:dyDescent="0.25"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8:30" x14ac:dyDescent="0.25"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8:30" x14ac:dyDescent="0.25"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8:30" x14ac:dyDescent="0.25"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8:30" x14ac:dyDescent="0.25"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8:30" x14ac:dyDescent="0.25"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8:30" x14ac:dyDescent="0.25"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8:30" x14ac:dyDescent="0.25"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8:30" x14ac:dyDescent="0.25"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8:30" x14ac:dyDescent="0.25"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8:30" x14ac:dyDescent="0.25"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8:30" x14ac:dyDescent="0.25"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8:30" x14ac:dyDescent="0.25"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8:30" x14ac:dyDescent="0.25"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8:30" x14ac:dyDescent="0.25"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8:30" x14ac:dyDescent="0.25"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8:30" x14ac:dyDescent="0.25"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8:30" x14ac:dyDescent="0.25"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8:30" x14ac:dyDescent="0.25"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8:30" x14ac:dyDescent="0.25"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8:30" x14ac:dyDescent="0.25"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8:30" x14ac:dyDescent="0.25"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8:30" x14ac:dyDescent="0.25"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8:30" x14ac:dyDescent="0.25"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8:30" x14ac:dyDescent="0.25"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8:30" x14ac:dyDescent="0.25"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8:30" x14ac:dyDescent="0.25"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8:30" x14ac:dyDescent="0.25"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8:30" x14ac:dyDescent="0.25"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8:30" x14ac:dyDescent="0.25"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8:30" x14ac:dyDescent="0.25"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8:30" x14ac:dyDescent="0.25"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8:30" x14ac:dyDescent="0.25"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8:30" x14ac:dyDescent="0.25"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8:30" x14ac:dyDescent="0.25"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8:30" x14ac:dyDescent="0.25"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8:30" x14ac:dyDescent="0.25"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8:30" x14ac:dyDescent="0.25"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8:30" x14ac:dyDescent="0.25"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8:30" x14ac:dyDescent="0.25"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8:30" x14ac:dyDescent="0.25"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8:30" x14ac:dyDescent="0.25"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8:30" x14ac:dyDescent="0.25"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8:30" x14ac:dyDescent="0.25"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8:30" x14ac:dyDescent="0.25"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8:30" x14ac:dyDescent="0.25"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8:30" x14ac:dyDescent="0.25"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8:30" x14ac:dyDescent="0.25"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8:30" x14ac:dyDescent="0.25"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8:30" x14ac:dyDescent="0.25"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8:30" x14ac:dyDescent="0.25"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8:30" x14ac:dyDescent="0.25"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8:30" x14ac:dyDescent="0.25"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8:30" x14ac:dyDescent="0.25"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8:30" x14ac:dyDescent="0.25"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8:30" x14ac:dyDescent="0.25"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8:30" x14ac:dyDescent="0.25"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8:30" x14ac:dyDescent="0.25"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8:30" x14ac:dyDescent="0.25"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8:30" x14ac:dyDescent="0.25"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8:30" x14ac:dyDescent="0.25"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8:30" x14ac:dyDescent="0.25"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8:30" x14ac:dyDescent="0.25"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8:30" x14ac:dyDescent="0.25"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8:30" x14ac:dyDescent="0.25"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8:30" x14ac:dyDescent="0.25"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8:30" x14ac:dyDescent="0.25"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8:30" x14ac:dyDescent="0.25"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8:30" x14ac:dyDescent="0.25"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8:30" x14ac:dyDescent="0.25"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8:30" x14ac:dyDescent="0.25"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8:30" x14ac:dyDescent="0.25"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8:30" x14ac:dyDescent="0.25"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8:30" x14ac:dyDescent="0.25"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8:30" x14ac:dyDescent="0.25"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8:30" x14ac:dyDescent="0.25"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8:30" x14ac:dyDescent="0.25"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8:30" x14ac:dyDescent="0.25"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8:30" x14ac:dyDescent="0.25"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8:30" x14ac:dyDescent="0.25"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8:30" x14ac:dyDescent="0.25"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8:30" x14ac:dyDescent="0.25"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8:30" x14ac:dyDescent="0.25"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8:30" x14ac:dyDescent="0.25"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8:30" x14ac:dyDescent="0.25"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8:30" x14ac:dyDescent="0.25"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8:30" x14ac:dyDescent="0.25"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8:30" x14ac:dyDescent="0.25"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8:30" x14ac:dyDescent="0.25"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8:30" x14ac:dyDescent="0.25"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8:30" x14ac:dyDescent="0.25"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8:30" x14ac:dyDescent="0.25"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8:30" x14ac:dyDescent="0.25"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8:30" x14ac:dyDescent="0.25"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8:30" x14ac:dyDescent="0.25"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8:30" x14ac:dyDescent="0.25"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8:30" x14ac:dyDescent="0.25"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8:30" x14ac:dyDescent="0.25"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8:30" x14ac:dyDescent="0.25"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8:30" x14ac:dyDescent="0.25"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8:30" x14ac:dyDescent="0.25"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8:30" x14ac:dyDescent="0.25"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8:30" x14ac:dyDescent="0.25"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8:30" x14ac:dyDescent="0.25"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8:30" x14ac:dyDescent="0.25"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8:30" x14ac:dyDescent="0.25"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8:30" x14ac:dyDescent="0.25"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8:30" x14ac:dyDescent="0.25"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8:30" x14ac:dyDescent="0.25"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8:30" x14ac:dyDescent="0.25"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8:30" x14ac:dyDescent="0.25"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8:30" x14ac:dyDescent="0.25"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8:30" x14ac:dyDescent="0.25"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8:30" x14ac:dyDescent="0.25"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8:30" x14ac:dyDescent="0.25"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8:30" x14ac:dyDescent="0.25"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8:30" x14ac:dyDescent="0.25"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8:30" x14ac:dyDescent="0.25"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8:30" x14ac:dyDescent="0.25"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8:30" x14ac:dyDescent="0.25"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8:30" x14ac:dyDescent="0.25"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8:30" x14ac:dyDescent="0.25"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8:30" x14ac:dyDescent="0.25"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8:30" x14ac:dyDescent="0.25"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8:30" x14ac:dyDescent="0.25"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8:30" x14ac:dyDescent="0.25"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8:30" x14ac:dyDescent="0.25"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8:30" x14ac:dyDescent="0.25"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8:30" x14ac:dyDescent="0.25"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8:30" x14ac:dyDescent="0.25"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8:30" x14ac:dyDescent="0.25"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8:30" x14ac:dyDescent="0.25"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8:30" x14ac:dyDescent="0.25"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8:30" x14ac:dyDescent="0.25"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8:30" x14ac:dyDescent="0.25"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8:30" x14ac:dyDescent="0.25"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8:30" x14ac:dyDescent="0.25"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8:30" x14ac:dyDescent="0.25"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8:30" x14ac:dyDescent="0.25"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8:30" x14ac:dyDescent="0.25"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8:30" x14ac:dyDescent="0.25"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8:30" x14ac:dyDescent="0.25"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8:30" x14ac:dyDescent="0.25"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8:30" x14ac:dyDescent="0.25"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8:30" x14ac:dyDescent="0.25"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8:30" x14ac:dyDescent="0.25"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8:30" x14ac:dyDescent="0.25"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8:30" x14ac:dyDescent="0.25"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8:30" x14ac:dyDescent="0.25"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8:30" x14ac:dyDescent="0.25"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8:30" x14ac:dyDescent="0.25"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8:30" x14ac:dyDescent="0.25"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8:30" x14ac:dyDescent="0.25"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8:30" x14ac:dyDescent="0.25"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8:30" x14ac:dyDescent="0.25"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8:30" x14ac:dyDescent="0.25"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8:30" x14ac:dyDescent="0.25"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8:30" x14ac:dyDescent="0.25"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8:30" x14ac:dyDescent="0.25"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8:30" x14ac:dyDescent="0.25"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8:30" x14ac:dyDescent="0.25"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8:30" x14ac:dyDescent="0.25"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8:30" x14ac:dyDescent="0.25"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8:30" x14ac:dyDescent="0.25"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8:30" x14ac:dyDescent="0.25"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8:30" x14ac:dyDescent="0.25"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8:30" x14ac:dyDescent="0.25"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8:30" x14ac:dyDescent="0.25"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8:30" x14ac:dyDescent="0.25"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8:30" x14ac:dyDescent="0.25"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8:30" x14ac:dyDescent="0.25"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8:30" x14ac:dyDescent="0.25"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8:30" x14ac:dyDescent="0.25"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8:30" x14ac:dyDescent="0.25"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8:30" x14ac:dyDescent="0.25"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8:30" x14ac:dyDescent="0.25"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8:30" x14ac:dyDescent="0.25"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8:30" x14ac:dyDescent="0.25"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8:30" x14ac:dyDescent="0.25"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8:30" x14ac:dyDescent="0.25"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8:30" x14ac:dyDescent="0.25"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8:30" x14ac:dyDescent="0.25"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8:30" x14ac:dyDescent="0.25"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8:30" x14ac:dyDescent="0.25"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8:30" x14ac:dyDescent="0.25"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8:30" x14ac:dyDescent="0.25"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8:30" x14ac:dyDescent="0.25"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8:30" x14ac:dyDescent="0.25"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8:30" x14ac:dyDescent="0.25"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8:30" x14ac:dyDescent="0.25"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8:30" x14ac:dyDescent="0.25"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8:30" x14ac:dyDescent="0.25"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8:30" x14ac:dyDescent="0.25"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8:30" x14ac:dyDescent="0.25"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8:30" x14ac:dyDescent="0.25"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8:30" x14ac:dyDescent="0.25"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8:30" x14ac:dyDescent="0.25"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8:30" x14ac:dyDescent="0.25"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8:30" x14ac:dyDescent="0.25"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8:30" x14ac:dyDescent="0.25"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8:30" x14ac:dyDescent="0.25"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8:30" x14ac:dyDescent="0.25"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8:30" x14ac:dyDescent="0.25"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8:30" x14ac:dyDescent="0.25"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8:30" x14ac:dyDescent="0.25"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8:30" x14ac:dyDescent="0.25"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8:30" x14ac:dyDescent="0.25"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8:30" x14ac:dyDescent="0.25"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8:30" x14ac:dyDescent="0.25"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8:30" x14ac:dyDescent="0.25"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8:30" x14ac:dyDescent="0.25"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8:30" x14ac:dyDescent="0.25"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8:30" x14ac:dyDescent="0.25"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8:30" x14ac:dyDescent="0.25"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8:30" x14ac:dyDescent="0.25"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8:30" x14ac:dyDescent="0.25"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8:30" x14ac:dyDescent="0.25"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8:30" x14ac:dyDescent="0.25"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8:30" x14ac:dyDescent="0.25"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8:30" x14ac:dyDescent="0.25"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8:30" x14ac:dyDescent="0.25"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8:30" x14ac:dyDescent="0.25"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8:30" x14ac:dyDescent="0.25"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8:30" x14ac:dyDescent="0.25"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8:30" x14ac:dyDescent="0.25"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8:30" x14ac:dyDescent="0.25"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8:30" x14ac:dyDescent="0.25"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8:30" x14ac:dyDescent="0.25"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8:30" x14ac:dyDescent="0.25"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8:30" x14ac:dyDescent="0.25"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8:30" x14ac:dyDescent="0.25"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8:30" x14ac:dyDescent="0.25"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8:30" x14ac:dyDescent="0.25"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8:30" x14ac:dyDescent="0.25"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8:30" x14ac:dyDescent="0.25"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8:30" x14ac:dyDescent="0.25"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8:30" x14ac:dyDescent="0.25"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8:30" x14ac:dyDescent="0.25"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8:30" x14ac:dyDescent="0.25"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8:30" x14ac:dyDescent="0.25"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8:30" x14ac:dyDescent="0.25"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8:30" x14ac:dyDescent="0.25"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8:30" x14ac:dyDescent="0.25"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8:30" x14ac:dyDescent="0.25"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8:30" x14ac:dyDescent="0.25"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8:30" x14ac:dyDescent="0.25"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8:30" x14ac:dyDescent="0.25"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8:30" x14ac:dyDescent="0.25"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8:30" x14ac:dyDescent="0.25"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8:30" x14ac:dyDescent="0.25"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8:30" x14ac:dyDescent="0.25"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8:30" x14ac:dyDescent="0.25"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8:30" x14ac:dyDescent="0.25"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8:30" x14ac:dyDescent="0.25"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8:30" x14ac:dyDescent="0.25"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8:30" x14ac:dyDescent="0.25"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8:30" x14ac:dyDescent="0.25"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8:30" x14ac:dyDescent="0.25"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8:30" x14ac:dyDescent="0.25"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8:30" x14ac:dyDescent="0.25"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8:30" x14ac:dyDescent="0.25"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8:30" x14ac:dyDescent="0.25"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8:30" x14ac:dyDescent="0.25"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8:30" x14ac:dyDescent="0.25"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8:30" x14ac:dyDescent="0.25"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8:30" x14ac:dyDescent="0.25"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8:30" x14ac:dyDescent="0.25"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8:30" x14ac:dyDescent="0.25"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8:30" x14ac:dyDescent="0.25"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8:30" x14ac:dyDescent="0.25"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8:30" x14ac:dyDescent="0.25"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8:30" x14ac:dyDescent="0.25"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8:30" x14ac:dyDescent="0.25"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8:30" x14ac:dyDescent="0.25"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8:30" x14ac:dyDescent="0.25"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8:30" x14ac:dyDescent="0.25"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8:30" x14ac:dyDescent="0.25"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8:30" x14ac:dyDescent="0.25"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8:30" x14ac:dyDescent="0.25"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8:30" x14ac:dyDescent="0.25"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8:30" x14ac:dyDescent="0.25"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8:30" x14ac:dyDescent="0.25"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8:30" x14ac:dyDescent="0.25"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8:30" x14ac:dyDescent="0.25"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8:30" x14ac:dyDescent="0.25"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8:30" x14ac:dyDescent="0.25"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8:30" x14ac:dyDescent="0.25"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8:30" x14ac:dyDescent="0.25"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8:30" x14ac:dyDescent="0.25"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8:30" x14ac:dyDescent="0.25"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8:30" x14ac:dyDescent="0.25"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8:30" x14ac:dyDescent="0.25"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8:30" x14ac:dyDescent="0.25"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8:30" x14ac:dyDescent="0.25"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8:30" x14ac:dyDescent="0.25"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8:30" x14ac:dyDescent="0.25"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8:30" x14ac:dyDescent="0.25"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8:30" x14ac:dyDescent="0.25"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8:30" x14ac:dyDescent="0.25"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8:30" x14ac:dyDescent="0.25"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8:30" x14ac:dyDescent="0.25"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8:30" x14ac:dyDescent="0.25"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8:30" x14ac:dyDescent="0.25"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8:30" x14ac:dyDescent="0.25"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8:30" x14ac:dyDescent="0.25"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8:30" x14ac:dyDescent="0.25"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8:30" x14ac:dyDescent="0.25"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8:30" x14ac:dyDescent="0.25"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8:30" x14ac:dyDescent="0.25"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8:30" x14ac:dyDescent="0.25"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8:30" x14ac:dyDescent="0.25"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8:30" x14ac:dyDescent="0.25"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8:30" x14ac:dyDescent="0.25"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8:30" x14ac:dyDescent="0.25"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8:30" x14ac:dyDescent="0.25"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8:30" x14ac:dyDescent="0.25"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8:30" x14ac:dyDescent="0.25"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8:30" x14ac:dyDescent="0.25"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8:30" x14ac:dyDescent="0.25"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8:30" x14ac:dyDescent="0.25"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8:30" x14ac:dyDescent="0.25"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8:30" x14ac:dyDescent="0.25"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8:30" x14ac:dyDescent="0.25"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8:30" x14ac:dyDescent="0.25"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8:30" x14ac:dyDescent="0.25"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8:30" x14ac:dyDescent="0.25"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8:30" x14ac:dyDescent="0.25"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8:30" x14ac:dyDescent="0.25"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8:30" x14ac:dyDescent="0.25"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8:30" x14ac:dyDescent="0.25"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8:30" x14ac:dyDescent="0.25"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8:30" x14ac:dyDescent="0.25"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8:30" x14ac:dyDescent="0.25"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8:30" x14ac:dyDescent="0.25"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8:30" x14ac:dyDescent="0.25"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8:30" x14ac:dyDescent="0.25"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8:30" x14ac:dyDescent="0.25"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8:30" x14ac:dyDescent="0.25"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8:30" x14ac:dyDescent="0.25"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8:30" x14ac:dyDescent="0.25"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8:30" x14ac:dyDescent="0.25"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8:30" x14ac:dyDescent="0.25"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8:30" x14ac:dyDescent="0.25"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8:30" x14ac:dyDescent="0.25"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8:30" x14ac:dyDescent="0.25"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8:30" x14ac:dyDescent="0.25"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8:30" x14ac:dyDescent="0.25"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8:30" x14ac:dyDescent="0.25"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8:30" x14ac:dyDescent="0.25"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8:30" x14ac:dyDescent="0.25"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8:30" x14ac:dyDescent="0.25"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8:30" x14ac:dyDescent="0.25"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8:30" x14ac:dyDescent="0.25"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8:30" x14ac:dyDescent="0.25"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8:30" x14ac:dyDescent="0.25"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8:30" x14ac:dyDescent="0.25"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8:30" x14ac:dyDescent="0.25"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8:30" x14ac:dyDescent="0.25"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8:30" x14ac:dyDescent="0.25"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8:30" x14ac:dyDescent="0.25"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8:30" x14ac:dyDescent="0.25"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8:30" x14ac:dyDescent="0.25"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8:30" x14ac:dyDescent="0.25"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8:30" x14ac:dyDescent="0.25"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8:30" x14ac:dyDescent="0.25"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8:30" x14ac:dyDescent="0.25"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8:30" x14ac:dyDescent="0.25"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8:30" x14ac:dyDescent="0.25"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8:30" x14ac:dyDescent="0.25"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8:30" x14ac:dyDescent="0.25"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8:30" x14ac:dyDescent="0.25"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8:30" x14ac:dyDescent="0.25"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8:30" x14ac:dyDescent="0.25"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8:30" x14ac:dyDescent="0.25"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8:30" x14ac:dyDescent="0.25"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8:30" x14ac:dyDescent="0.25"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8:30" x14ac:dyDescent="0.25"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8:30" x14ac:dyDescent="0.25"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8:30" x14ac:dyDescent="0.25"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8:30" x14ac:dyDescent="0.25"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8:30" x14ac:dyDescent="0.25"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8:30" x14ac:dyDescent="0.25"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8:30" x14ac:dyDescent="0.25"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8:30" x14ac:dyDescent="0.25"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8:30" x14ac:dyDescent="0.25"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8:30" x14ac:dyDescent="0.25"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8:30" x14ac:dyDescent="0.25"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8:30" x14ac:dyDescent="0.25"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8:30" x14ac:dyDescent="0.25"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8:30" x14ac:dyDescent="0.25"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8:30" x14ac:dyDescent="0.25"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8:30" x14ac:dyDescent="0.25"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8:30" x14ac:dyDescent="0.25"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8:30" x14ac:dyDescent="0.25"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8:30" x14ac:dyDescent="0.25"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8:30" x14ac:dyDescent="0.25"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8:30" x14ac:dyDescent="0.25"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8:30" x14ac:dyDescent="0.25"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8:30" x14ac:dyDescent="0.25"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8:30" x14ac:dyDescent="0.25"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8:30" x14ac:dyDescent="0.25"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8:30" x14ac:dyDescent="0.25"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8:30" x14ac:dyDescent="0.25"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8:30" x14ac:dyDescent="0.25"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8:30" x14ac:dyDescent="0.25"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8:30" x14ac:dyDescent="0.25"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8:30" x14ac:dyDescent="0.25"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8:30" x14ac:dyDescent="0.25"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8:30" x14ac:dyDescent="0.25"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8:30" x14ac:dyDescent="0.25"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8:30" x14ac:dyDescent="0.25"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8:30" x14ac:dyDescent="0.25"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8:30" x14ac:dyDescent="0.25"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8:30" x14ac:dyDescent="0.25"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8:30" x14ac:dyDescent="0.25"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8:30" x14ac:dyDescent="0.25"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8:30" x14ac:dyDescent="0.25"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8:30" x14ac:dyDescent="0.25"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8:30" x14ac:dyDescent="0.25"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8:30" x14ac:dyDescent="0.25"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8:30" x14ac:dyDescent="0.25"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8:30" x14ac:dyDescent="0.25"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8:30" x14ac:dyDescent="0.25"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8:30" x14ac:dyDescent="0.25"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8:30" x14ac:dyDescent="0.25"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8:30" x14ac:dyDescent="0.25"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8:30" x14ac:dyDescent="0.25"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8:30" x14ac:dyDescent="0.25"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8:30" x14ac:dyDescent="0.25"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8:30" x14ac:dyDescent="0.25"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8:30" x14ac:dyDescent="0.25"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8:30" x14ac:dyDescent="0.25"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8:30" x14ac:dyDescent="0.25"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8:30" x14ac:dyDescent="0.25"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8:30" x14ac:dyDescent="0.25"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8:30" x14ac:dyDescent="0.25"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8:30" x14ac:dyDescent="0.25"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8:30" x14ac:dyDescent="0.25"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8:30" x14ac:dyDescent="0.25"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8:30" x14ac:dyDescent="0.25"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8:30" x14ac:dyDescent="0.25"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8:30" x14ac:dyDescent="0.25"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8:30" x14ac:dyDescent="0.25"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8:30" x14ac:dyDescent="0.25"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8:30" x14ac:dyDescent="0.25"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8:30" x14ac:dyDescent="0.25"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8:30" x14ac:dyDescent="0.25"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8:30" x14ac:dyDescent="0.25"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8:30" x14ac:dyDescent="0.25"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8:30" x14ac:dyDescent="0.25"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8:30" x14ac:dyDescent="0.25"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8:30" x14ac:dyDescent="0.25"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8:30" x14ac:dyDescent="0.25"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8:30" x14ac:dyDescent="0.25"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8:30" x14ac:dyDescent="0.25"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8:30" x14ac:dyDescent="0.25"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8:30" x14ac:dyDescent="0.25"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8:30" x14ac:dyDescent="0.25"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8:30" x14ac:dyDescent="0.25"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8:30" x14ac:dyDescent="0.25"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8:30" x14ac:dyDescent="0.25"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8:30" x14ac:dyDescent="0.25"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8:30" x14ac:dyDescent="0.25"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8:30" x14ac:dyDescent="0.25"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8:30" x14ac:dyDescent="0.25"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8:30" x14ac:dyDescent="0.25"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8:30" x14ac:dyDescent="0.25"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8:30" x14ac:dyDescent="0.25"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8:30" x14ac:dyDescent="0.25"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8:30" x14ac:dyDescent="0.25"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8:30" x14ac:dyDescent="0.25"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8:30" x14ac:dyDescent="0.25"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8:30" x14ac:dyDescent="0.25"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8:30" x14ac:dyDescent="0.25"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8:30" x14ac:dyDescent="0.25"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8:30" x14ac:dyDescent="0.25"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8:30" x14ac:dyDescent="0.25"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8:30" x14ac:dyDescent="0.25"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8:30" x14ac:dyDescent="0.25"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8:30" x14ac:dyDescent="0.25"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8:30" x14ac:dyDescent="0.25"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8:30" x14ac:dyDescent="0.25"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8:30" x14ac:dyDescent="0.25"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8:30" x14ac:dyDescent="0.25"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8:30" x14ac:dyDescent="0.25"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8:30" x14ac:dyDescent="0.25"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8:30" x14ac:dyDescent="0.25"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8:30" x14ac:dyDescent="0.25"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8:30" x14ac:dyDescent="0.25"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8:30" x14ac:dyDescent="0.25"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8:30" x14ac:dyDescent="0.25"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8:30" x14ac:dyDescent="0.25"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8:30" x14ac:dyDescent="0.25"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8:30" x14ac:dyDescent="0.25"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8:30" x14ac:dyDescent="0.25"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8:30" x14ac:dyDescent="0.25"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8:30" x14ac:dyDescent="0.25"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8:30" x14ac:dyDescent="0.25"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8:30" x14ac:dyDescent="0.25"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8:30" x14ac:dyDescent="0.25"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8:30" x14ac:dyDescent="0.25"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8:30" x14ac:dyDescent="0.25"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8:30" x14ac:dyDescent="0.25"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8:30" x14ac:dyDescent="0.25"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8:30" x14ac:dyDescent="0.25"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8:30" x14ac:dyDescent="0.25"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8:30" x14ac:dyDescent="0.25"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8:30" x14ac:dyDescent="0.25"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8:30" x14ac:dyDescent="0.25"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8:30" x14ac:dyDescent="0.25"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8:30" x14ac:dyDescent="0.25"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8:30" x14ac:dyDescent="0.25"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8:30" x14ac:dyDescent="0.25"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8:30" x14ac:dyDescent="0.25"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8:30" x14ac:dyDescent="0.25"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8:30" x14ac:dyDescent="0.25"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8:30" x14ac:dyDescent="0.25"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8:30" x14ac:dyDescent="0.25"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8:30" x14ac:dyDescent="0.25"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8:30" x14ac:dyDescent="0.25"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8:30" x14ac:dyDescent="0.25"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8:30" x14ac:dyDescent="0.25"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8:30" x14ac:dyDescent="0.25"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8:30" x14ac:dyDescent="0.25"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8:30" x14ac:dyDescent="0.25"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8:30" x14ac:dyDescent="0.25"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8:30" x14ac:dyDescent="0.25"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8:30" x14ac:dyDescent="0.25"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8:30" x14ac:dyDescent="0.25"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8:30" x14ac:dyDescent="0.25"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8:30" x14ac:dyDescent="0.25"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8:30" x14ac:dyDescent="0.25"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8:30" x14ac:dyDescent="0.25"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8:30" x14ac:dyDescent="0.25"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8:30" x14ac:dyDescent="0.25"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8:30" x14ac:dyDescent="0.25"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8:30" x14ac:dyDescent="0.25"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8:30" x14ac:dyDescent="0.25"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8:30" x14ac:dyDescent="0.25"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8:30" x14ac:dyDescent="0.25"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8:30" x14ac:dyDescent="0.25"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8:30" x14ac:dyDescent="0.25"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8:30" x14ac:dyDescent="0.25"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8:30" x14ac:dyDescent="0.25"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8:30" x14ac:dyDescent="0.25"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8:30" x14ac:dyDescent="0.25"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8:30" x14ac:dyDescent="0.25"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8:30" x14ac:dyDescent="0.25"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8:30" x14ac:dyDescent="0.25"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8:30" x14ac:dyDescent="0.25"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8:30" x14ac:dyDescent="0.25"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8:30" x14ac:dyDescent="0.25"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8:30" x14ac:dyDescent="0.25"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8:30" x14ac:dyDescent="0.25"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8:30" x14ac:dyDescent="0.25"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8:30" x14ac:dyDescent="0.25"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8:30" x14ac:dyDescent="0.25"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8:30" x14ac:dyDescent="0.25"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8:30" x14ac:dyDescent="0.25"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8:30" x14ac:dyDescent="0.25"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8:30" x14ac:dyDescent="0.25"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8:30" x14ac:dyDescent="0.25"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8:30" x14ac:dyDescent="0.25"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8:30" x14ac:dyDescent="0.25"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8:30" x14ac:dyDescent="0.25"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8:30" x14ac:dyDescent="0.25"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8:30" x14ac:dyDescent="0.25"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8:30" x14ac:dyDescent="0.25"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8:30" x14ac:dyDescent="0.25"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8:30" x14ac:dyDescent="0.25"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8:30" x14ac:dyDescent="0.25"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8:30" x14ac:dyDescent="0.25"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8:30" x14ac:dyDescent="0.25"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8:30" x14ac:dyDescent="0.25"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8:30" x14ac:dyDescent="0.25"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8:30" x14ac:dyDescent="0.25"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8:30" x14ac:dyDescent="0.25"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8:30" x14ac:dyDescent="0.25"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8:30" x14ac:dyDescent="0.25"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8:30" x14ac:dyDescent="0.25"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8:30" x14ac:dyDescent="0.25"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8:30" x14ac:dyDescent="0.25"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8:30" x14ac:dyDescent="0.25"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8:30" x14ac:dyDescent="0.25"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8:30" x14ac:dyDescent="0.25"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8:30" x14ac:dyDescent="0.25"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8:30" x14ac:dyDescent="0.25"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8:30" x14ac:dyDescent="0.25"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8:30" x14ac:dyDescent="0.25"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8:30" x14ac:dyDescent="0.25"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8:30" x14ac:dyDescent="0.25"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8:30" x14ac:dyDescent="0.25"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8:30" x14ac:dyDescent="0.25"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8:30" x14ac:dyDescent="0.25"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8:30" x14ac:dyDescent="0.25"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8:30" x14ac:dyDescent="0.25"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8:30" x14ac:dyDescent="0.25"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8:30" x14ac:dyDescent="0.25"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8:30" x14ac:dyDescent="0.25"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8:30" x14ac:dyDescent="0.25"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8:30" x14ac:dyDescent="0.25"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8:30" x14ac:dyDescent="0.25"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8:30" x14ac:dyDescent="0.25"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8:30" x14ac:dyDescent="0.25"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8:30" x14ac:dyDescent="0.25"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8:30" x14ac:dyDescent="0.25"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8:30" x14ac:dyDescent="0.25"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8:30" x14ac:dyDescent="0.25"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8:30" x14ac:dyDescent="0.25"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8:30" x14ac:dyDescent="0.25"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8:30" x14ac:dyDescent="0.25"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8:30" x14ac:dyDescent="0.25"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8:30" x14ac:dyDescent="0.25"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8:30" x14ac:dyDescent="0.25"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8:30" x14ac:dyDescent="0.25"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8:30" x14ac:dyDescent="0.25"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8:30" x14ac:dyDescent="0.25"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8:30" x14ac:dyDescent="0.25"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8:30" x14ac:dyDescent="0.25"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8:30" x14ac:dyDescent="0.25"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8:30" x14ac:dyDescent="0.25"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8:30" x14ac:dyDescent="0.25"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8:30" x14ac:dyDescent="0.25"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8:30" x14ac:dyDescent="0.25"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8:30" x14ac:dyDescent="0.25"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8:30" x14ac:dyDescent="0.25"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8:30" x14ac:dyDescent="0.25"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8:30" x14ac:dyDescent="0.25"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8:30" x14ac:dyDescent="0.25"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8:30" x14ac:dyDescent="0.25"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8:30" x14ac:dyDescent="0.25"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8:30" x14ac:dyDescent="0.25"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8:30" x14ac:dyDescent="0.25"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8:30" x14ac:dyDescent="0.25"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8:30" x14ac:dyDescent="0.25"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8:30" x14ac:dyDescent="0.25"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8:30" x14ac:dyDescent="0.25"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8:30" x14ac:dyDescent="0.25"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8:30" x14ac:dyDescent="0.25"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8:30" x14ac:dyDescent="0.25"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8:30" x14ac:dyDescent="0.25"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8:30" x14ac:dyDescent="0.25"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8:30" x14ac:dyDescent="0.25"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8:30" x14ac:dyDescent="0.25"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8:30" x14ac:dyDescent="0.25"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8:30" x14ac:dyDescent="0.25"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8:30" x14ac:dyDescent="0.25"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8:30" x14ac:dyDescent="0.25"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8:30" x14ac:dyDescent="0.25"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8:30" x14ac:dyDescent="0.25"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8:30" x14ac:dyDescent="0.25"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8:30" x14ac:dyDescent="0.25"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8:30" x14ac:dyDescent="0.25"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8:30" x14ac:dyDescent="0.25"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8:30" x14ac:dyDescent="0.25"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8:30" x14ac:dyDescent="0.25"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8:30" x14ac:dyDescent="0.25"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8:30" x14ac:dyDescent="0.25"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8:30" x14ac:dyDescent="0.25"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8:30" x14ac:dyDescent="0.25"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8:30" x14ac:dyDescent="0.25"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8:30" x14ac:dyDescent="0.25"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8:30" x14ac:dyDescent="0.25"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8:30" x14ac:dyDescent="0.25"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8:30" x14ac:dyDescent="0.25"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8:30" x14ac:dyDescent="0.25"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8:30" x14ac:dyDescent="0.25"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8:30" x14ac:dyDescent="0.25"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8:30" x14ac:dyDescent="0.25"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8:30" x14ac:dyDescent="0.25"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8:30" x14ac:dyDescent="0.25"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8:30" x14ac:dyDescent="0.25"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8:30" x14ac:dyDescent="0.25"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8:30" x14ac:dyDescent="0.25"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8:30" x14ac:dyDescent="0.25"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8:30" x14ac:dyDescent="0.25"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8:30" x14ac:dyDescent="0.25"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8:30" x14ac:dyDescent="0.25"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8:30" x14ac:dyDescent="0.25"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8:30" x14ac:dyDescent="0.25"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8:30" x14ac:dyDescent="0.25"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8:30" x14ac:dyDescent="0.25"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8:30" x14ac:dyDescent="0.25"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8:30" x14ac:dyDescent="0.25"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8:30" x14ac:dyDescent="0.25"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8:30" x14ac:dyDescent="0.25"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8:30" x14ac:dyDescent="0.25"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8:30" x14ac:dyDescent="0.25"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8:30" x14ac:dyDescent="0.25"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8:30" x14ac:dyDescent="0.25"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8:30" x14ac:dyDescent="0.25"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8:30" x14ac:dyDescent="0.25"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8:30" x14ac:dyDescent="0.25"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8:30" x14ac:dyDescent="0.25"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8:30" x14ac:dyDescent="0.25"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8:30" x14ac:dyDescent="0.25"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8:30" x14ac:dyDescent="0.25"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8:30" x14ac:dyDescent="0.25"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8:30" x14ac:dyDescent="0.25"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8:30" x14ac:dyDescent="0.25"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8:30" x14ac:dyDescent="0.25"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8:30" x14ac:dyDescent="0.25"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8:30" x14ac:dyDescent="0.25"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8:30" x14ac:dyDescent="0.25"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8:30" x14ac:dyDescent="0.25"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8:30" x14ac:dyDescent="0.25"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8:30" x14ac:dyDescent="0.25"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8:30" x14ac:dyDescent="0.25"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8:30" x14ac:dyDescent="0.25"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8:30" x14ac:dyDescent="0.25"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8:30" x14ac:dyDescent="0.25"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8:30" x14ac:dyDescent="0.25"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8:30" x14ac:dyDescent="0.25"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8:30" x14ac:dyDescent="0.25"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8:30" x14ac:dyDescent="0.25"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8:30" x14ac:dyDescent="0.25"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8:30" x14ac:dyDescent="0.25"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8:30" x14ac:dyDescent="0.25"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8:30" x14ac:dyDescent="0.25"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8:30" x14ac:dyDescent="0.25"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8:30" x14ac:dyDescent="0.25"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8:30" x14ac:dyDescent="0.25"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8:30" x14ac:dyDescent="0.25"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8:30" x14ac:dyDescent="0.25"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8:30" x14ac:dyDescent="0.25"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8:30" x14ac:dyDescent="0.25"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8:30" x14ac:dyDescent="0.25"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8:30" x14ac:dyDescent="0.25"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8:30" x14ac:dyDescent="0.25"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8:30" x14ac:dyDescent="0.25"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8:30" x14ac:dyDescent="0.25"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8:30" x14ac:dyDescent="0.25"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8:30" x14ac:dyDescent="0.25"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8:30" x14ac:dyDescent="0.25"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8:30" x14ac:dyDescent="0.25"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8:30" x14ac:dyDescent="0.25"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8:30" x14ac:dyDescent="0.25"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8:30" x14ac:dyDescent="0.25"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8:30" x14ac:dyDescent="0.25"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8:30" x14ac:dyDescent="0.25"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8:30" x14ac:dyDescent="0.25"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8:30" x14ac:dyDescent="0.25"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8:30" x14ac:dyDescent="0.25"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8:30" x14ac:dyDescent="0.25"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8:30" x14ac:dyDescent="0.25"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8:30" x14ac:dyDescent="0.25"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8:30" x14ac:dyDescent="0.25"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8:30" x14ac:dyDescent="0.25"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8:30" x14ac:dyDescent="0.25"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8:30" x14ac:dyDescent="0.25"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8:30" x14ac:dyDescent="0.25"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8:30" x14ac:dyDescent="0.25"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8:30" x14ac:dyDescent="0.25"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8:30" x14ac:dyDescent="0.25"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8:30" x14ac:dyDescent="0.25"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8:30" x14ac:dyDescent="0.25"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8:30" x14ac:dyDescent="0.25"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8:30" x14ac:dyDescent="0.25"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8:30" x14ac:dyDescent="0.25"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8:30" x14ac:dyDescent="0.25"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8:30" x14ac:dyDescent="0.25"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8:30" x14ac:dyDescent="0.25"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8:30" x14ac:dyDescent="0.25"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8:30" x14ac:dyDescent="0.25"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8:30" x14ac:dyDescent="0.25"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8:30" x14ac:dyDescent="0.25"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8:30" x14ac:dyDescent="0.25"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8:30" x14ac:dyDescent="0.25"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8:30" x14ac:dyDescent="0.25"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8:30" x14ac:dyDescent="0.25"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8:30" x14ac:dyDescent="0.25"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8:30" x14ac:dyDescent="0.25"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8:30" x14ac:dyDescent="0.25"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8:30" x14ac:dyDescent="0.25"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8:30" x14ac:dyDescent="0.25"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8:30" x14ac:dyDescent="0.25"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8:30" x14ac:dyDescent="0.25"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8:30" x14ac:dyDescent="0.25"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8:30" x14ac:dyDescent="0.25"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8:30" x14ac:dyDescent="0.25"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8:30" x14ac:dyDescent="0.25"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8:30" x14ac:dyDescent="0.25"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8:30" x14ac:dyDescent="0.25"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8:30" x14ac:dyDescent="0.25"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8:30" x14ac:dyDescent="0.25"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8:30" x14ac:dyDescent="0.25"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8:30" x14ac:dyDescent="0.25"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8:30" x14ac:dyDescent="0.25"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8:30" x14ac:dyDescent="0.25"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8:30" x14ac:dyDescent="0.25"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8:30" x14ac:dyDescent="0.25"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8:30" x14ac:dyDescent="0.25"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8:30" x14ac:dyDescent="0.25"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8:30" x14ac:dyDescent="0.25"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8:30" x14ac:dyDescent="0.25"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8:30" x14ac:dyDescent="0.25"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8:30" x14ac:dyDescent="0.25"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8:30" x14ac:dyDescent="0.25"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8:30" x14ac:dyDescent="0.25"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8:30" x14ac:dyDescent="0.25"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8:30" x14ac:dyDescent="0.25"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8:30" x14ac:dyDescent="0.25"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8:30" x14ac:dyDescent="0.25"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8:30" x14ac:dyDescent="0.25"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8:30" x14ac:dyDescent="0.25"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8:30" x14ac:dyDescent="0.25"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8:30" x14ac:dyDescent="0.25"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8:30" x14ac:dyDescent="0.25"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8:30" x14ac:dyDescent="0.25"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8:30" x14ac:dyDescent="0.25"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8:30" x14ac:dyDescent="0.25"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8:30" x14ac:dyDescent="0.25"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8:30" x14ac:dyDescent="0.25"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8:30" x14ac:dyDescent="0.25"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8:30" x14ac:dyDescent="0.25"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8:30" x14ac:dyDescent="0.25"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8:30" x14ac:dyDescent="0.25"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8:30" x14ac:dyDescent="0.25"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8:30" x14ac:dyDescent="0.25"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8:30" x14ac:dyDescent="0.25"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8:30" x14ac:dyDescent="0.25"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8:30" x14ac:dyDescent="0.25"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8:30" x14ac:dyDescent="0.25"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8:30" x14ac:dyDescent="0.25"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8:30" x14ac:dyDescent="0.25"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8:30" x14ac:dyDescent="0.25"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8:30" x14ac:dyDescent="0.25"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8:30" x14ac:dyDescent="0.25"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8:30" x14ac:dyDescent="0.25"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8:30" x14ac:dyDescent="0.25"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8:30" x14ac:dyDescent="0.25"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8:30" x14ac:dyDescent="0.25"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8:30" x14ac:dyDescent="0.25"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8:30" x14ac:dyDescent="0.25"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8:30" x14ac:dyDescent="0.25"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8:30" x14ac:dyDescent="0.25"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8:30" x14ac:dyDescent="0.25"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8:30" x14ac:dyDescent="0.25"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8:30" x14ac:dyDescent="0.25"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8:30" x14ac:dyDescent="0.25"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8:30" x14ac:dyDescent="0.25"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8:30" x14ac:dyDescent="0.25"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8:30" x14ac:dyDescent="0.25"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8:30" x14ac:dyDescent="0.25"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8:30" x14ac:dyDescent="0.25"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8:30" x14ac:dyDescent="0.25"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8:30" x14ac:dyDescent="0.25"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8:30" x14ac:dyDescent="0.25"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8:30" x14ac:dyDescent="0.25"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8:30" x14ac:dyDescent="0.25"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8:30" x14ac:dyDescent="0.25"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8:30" x14ac:dyDescent="0.25"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8:30" x14ac:dyDescent="0.25"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8:30" x14ac:dyDescent="0.25"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8:30" x14ac:dyDescent="0.25"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8:30" x14ac:dyDescent="0.25"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8:30" x14ac:dyDescent="0.25"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8:30" x14ac:dyDescent="0.25"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8:30" x14ac:dyDescent="0.25"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8:30" x14ac:dyDescent="0.25"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8:30" x14ac:dyDescent="0.25"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8:30" x14ac:dyDescent="0.25"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8:30" x14ac:dyDescent="0.25"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8:30" x14ac:dyDescent="0.25"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8:30" x14ac:dyDescent="0.25"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8:30" x14ac:dyDescent="0.25"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8:30" x14ac:dyDescent="0.25"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8:30" x14ac:dyDescent="0.25"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8:30" x14ac:dyDescent="0.25"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8:30" x14ac:dyDescent="0.25"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8:30" x14ac:dyDescent="0.25"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8:30" x14ac:dyDescent="0.25"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8:30" x14ac:dyDescent="0.25"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8:30" x14ac:dyDescent="0.25"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8:30" x14ac:dyDescent="0.25"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8:30" x14ac:dyDescent="0.25"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8:30" x14ac:dyDescent="0.25"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8:30" x14ac:dyDescent="0.25"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8:30" x14ac:dyDescent="0.25"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8:30" x14ac:dyDescent="0.25"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8:30" x14ac:dyDescent="0.25"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8:30" x14ac:dyDescent="0.25"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8:30" x14ac:dyDescent="0.25"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8:30" x14ac:dyDescent="0.25"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8:30" x14ac:dyDescent="0.25"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8:30" x14ac:dyDescent="0.25"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8:30" x14ac:dyDescent="0.25"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8:30" x14ac:dyDescent="0.25"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8:30" x14ac:dyDescent="0.25"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8:30" x14ac:dyDescent="0.25"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8:30" x14ac:dyDescent="0.25"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8:30" x14ac:dyDescent="0.25"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8:30" x14ac:dyDescent="0.25"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8:30" x14ac:dyDescent="0.25"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8:30" x14ac:dyDescent="0.25"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8:30" x14ac:dyDescent="0.25"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8:30" x14ac:dyDescent="0.25"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8:30" x14ac:dyDescent="0.25"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8:30" x14ac:dyDescent="0.25"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8:30" x14ac:dyDescent="0.25"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8:30" x14ac:dyDescent="0.25"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8:30" x14ac:dyDescent="0.25"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8:30" x14ac:dyDescent="0.25"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8:30" x14ac:dyDescent="0.25"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8:30" x14ac:dyDescent="0.25"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8:30" x14ac:dyDescent="0.25"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8:30" x14ac:dyDescent="0.25"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8:30" x14ac:dyDescent="0.25"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8:30" x14ac:dyDescent="0.25"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8:30" x14ac:dyDescent="0.25"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8:30" x14ac:dyDescent="0.25"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8:30" x14ac:dyDescent="0.25"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8:30" x14ac:dyDescent="0.25"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8:30" x14ac:dyDescent="0.25"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8:30" x14ac:dyDescent="0.25"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8:30" x14ac:dyDescent="0.25"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8:30" x14ac:dyDescent="0.25"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8:30" x14ac:dyDescent="0.25"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8:30" x14ac:dyDescent="0.25"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8:30" x14ac:dyDescent="0.25"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8:30" x14ac:dyDescent="0.25"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8:30" x14ac:dyDescent="0.25"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8:30" x14ac:dyDescent="0.25"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8:30" x14ac:dyDescent="0.25"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8:30" x14ac:dyDescent="0.25"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8:30" x14ac:dyDescent="0.25"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8:30" x14ac:dyDescent="0.25"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8:30" x14ac:dyDescent="0.25"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8:30" x14ac:dyDescent="0.25"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8:30" x14ac:dyDescent="0.25"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8:30" x14ac:dyDescent="0.25"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8:30" x14ac:dyDescent="0.25"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8:30" x14ac:dyDescent="0.25"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8:30" x14ac:dyDescent="0.25"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8:30" x14ac:dyDescent="0.25"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8:30" x14ac:dyDescent="0.25"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8:30" x14ac:dyDescent="0.25"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8:30" x14ac:dyDescent="0.25"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8:30" x14ac:dyDescent="0.25"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8:30" x14ac:dyDescent="0.25"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8:30" x14ac:dyDescent="0.25"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8:30" x14ac:dyDescent="0.25"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8:30" x14ac:dyDescent="0.25"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8:30" x14ac:dyDescent="0.25"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8:30" x14ac:dyDescent="0.25"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8:30" x14ac:dyDescent="0.25"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8:30" x14ac:dyDescent="0.25"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8:30" x14ac:dyDescent="0.25"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8:30" x14ac:dyDescent="0.25"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8:30" x14ac:dyDescent="0.25"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8:30" x14ac:dyDescent="0.25"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8:30" x14ac:dyDescent="0.25"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8:30" x14ac:dyDescent="0.25"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8:30" x14ac:dyDescent="0.25"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8:30" x14ac:dyDescent="0.25"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8:30" x14ac:dyDescent="0.25"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8:30" x14ac:dyDescent="0.25"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8:30" x14ac:dyDescent="0.25"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8:30" x14ac:dyDescent="0.25"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8:30" x14ac:dyDescent="0.25"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8:30" x14ac:dyDescent="0.25"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8:30" x14ac:dyDescent="0.25"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8:30" x14ac:dyDescent="0.25"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8:30" x14ac:dyDescent="0.25"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8:30" x14ac:dyDescent="0.25"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8:30" x14ac:dyDescent="0.25"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8:30" x14ac:dyDescent="0.25"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8:30" x14ac:dyDescent="0.25"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8:30" x14ac:dyDescent="0.25"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8:30" x14ac:dyDescent="0.25"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8:30" x14ac:dyDescent="0.25"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8:30" x14ac:dyDescent="0.25"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8:30" x14ac:dyDescent="0.25"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8:30" x14ac:dyDescent="0.25"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8:30" x14ac:dyDescent="0.25"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8:30" x14ac:dyDescent="0.25"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8:30" x14ac:dyDescent="0.25"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8:30" x14ac:dyDescent="0.25"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8:30" x14ac:dyDescent="0.25"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8:30" x14ac:dyDescent="0.25"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8:30" x14ac:dyDescent="0.25"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8:30" x14ac:dyDescent="0.25"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8:30" x14ac:dyDescent="0.25"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8:30" x14ac:dyDescent="0.25"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8:30" x14ac:dyDescent="0.25"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8:30" x14ac:dyDescent="0.25"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8:30" x14ac:dyDescent="0.25"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8:30" x14ac:dyDescent="0.25"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8:30" x14ac:dyDescent="0.25"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8:30" x14ac:dyDescent="0.25"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8:30" x14ac:dyDescent="0.25"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8:30" x14ac:dyDescent="0.25"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8:30" x14ac:dyDescent="0.25"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8:30" x14ac:dyDescent="0.25"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8:30" x14ac:dyDescent="0.25"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8:30" x14ac:dyDescent="0.25"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8:30" x14ac:dyDescent="0.25"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8:30" x14ac:dyDescent="0.25"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8:30" x14ac:dyDescent="0.25"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8:30" x14ac:dyDescent="0.25"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8:30" x14ac:dyDescent="0.25"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8:30" x14ac:dyDescent="0.25"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8:30" x14ac:dyDescent="0.25"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8:30" x14ac:dyDescent="0.25"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8:30" x14ac:dyDescent="0.25"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8:30" x14ac:dyDescent="0.25"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8:30" x14ac:dyDescent="0.25"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8:30" x14ac:dyDescent="0.25"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8:30" x14ac:dyDescent="0.25"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8:30" x14ac:dyDescent="0.25"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8:30" x14ac:dyDescent="0.25"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8:30" x14ac:dyDescent="0.25"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8:30" x14ac:dyDescent="0.25"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8:30" x14ac:dyDescent="0.25"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8:30" x14ac:dyDescent="0.25"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8:30" x14ac:dyDescent="0.25"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8:30" x14ac:dyDescent="0.25"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8:30" x14ac:dyDescent="0.25"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8:30" x14ac:dyDescent="0.25"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8:30" x14ac:dyDescent="0.25"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8:30" x14ac:dyDescent="0.25"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8:30" x14ac:dyDescent="0.25"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8:30" x14ac:dyDescent="0.25"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8:30" x14ac:dyDescent="0.25"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8:30" x14ac:dyDescent="0.25"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8:30" x14ac:dyDescent="0.25"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8:30" x14ac:dyDescent="0.25"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8:30" x14ac:dyDescent="0.25"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8:30" x14ac:dyDescent="0.25"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8:30" x14ac:dyDescent="0.25"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8:30" x14ac:dyDescent="0.25"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8:30" x14ac:dyDescent="0.25"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8:30" x14ac:dyDescent="0.25"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8:30" x14ac:dyDescent="0.25"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8:30" x14ac:dyDescent="0.25"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8:30" x14ac:dyDescent="0.25"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8:30" x14ac:dyDescent="0.25"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8:30" x14ac:dyDescent="0.25"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8:30" x14ac:dyDescent="0.25"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8:30" x14ac:dyDescent="0.25"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8:30" x14ac:dyDescent="0.25"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8:30" x14ac:dyDescent="0.25"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8:30" x14ac:dyDescent="0.25"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8:30" x14ac:dyDescent="0.25"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8:30" x14ac:dyDescent="0.25"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8:30" x14ac:dyDescent="0.25"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8:30" x14ac:dyDescent="0.25"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8:30" x14ac:dyDescent="0.25"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8:30" x14ac:dyDescent="0.25"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8:30" x14ac:dyDescent="0.25"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8:30" x14ac:dyDescent="0.25"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8:30" x14ac:dyDescent="0.25"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8:30" x14ac:dyDescent="0.25"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8:30" x14ac:dyDescent="0.25"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8:30" x14ac:dyDescent="0.25"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8:30" x14ac:dyDescent="0.25"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8:30" x14ac:dyDescent="0.25"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8:30" x14ac:dyDescent="0.25"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8:30" x14ac:dyDescent="0.25"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8:30" x14ac:dyDescent="0.25"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8:30" x14ac:dyDescent="0.25"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8:30" x14ac:dyDescent="0.25"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8:30" x14ac:dyDescent="0.25"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8:30" x14ac:dyDescent="0.25"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8:30" x14ac:dyDescent="0.25"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8:30" x14ac:dyDescent="0.25"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8:30" x14ac:dyDescent="0.25"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8:30" x14ac:dyDescent="0.25"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8:30" x14ac:dyDescent="0.25"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8:30" x14ac:dyDescent="0.25"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8:30" x14ac:dyDescent="0.25"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8:30" x14ac:dyDescent="0.25"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8:30" x14ac:dyDescent="0.25"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8:30" x14ac:dyDescent="0.25"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8:30" x14ac:dyDescent="0.25"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8:30" x14ac:dyDescent="0.25"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8:30" x14ac:dyDescent="0.25"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8:30" x14ac:dyDescent="0.25"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8:30" x14ac:dyDescent="0.25"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8:30" x14ac:dyDescent="0.25"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8:30" x14ac:dyDescent="0.25"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8:30" x14ac:dyDescent="0.25"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8:30" x14ac:dyDescent="0.25"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8:30" x14ac:dyDescent="0.25"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8:30" x14ac:dyDescent="0.25"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8:30" x14ac:dyDescent="0.25"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8:30" x14ac:dyDescent="0.25"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8:30" x14ac:dyDescent="0.25"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8:30" x14ac:dyDescent="0.25"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8:30" x14ac:dyDescent="0.25"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8:30" x14ac:dyDescent="0.25"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8:30" x14ac:dyDescent="0.25"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8:30" x14ac:dyDescent="0.25"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8:30" x14ac:dyDescent="0.25"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8:30" x14ac:dyDescent="0.25"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8:30" x14ac:dyDescent="0.25"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8:30" x14ac:dyDescent="0.25"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8:30" x14ac:dyDescent="0.25"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8:30" x14ac:dyDescent="0.25"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8:30" x14ac:dyDescent="0.25"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8:30" x14ac:dyDescent="0.25"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8:30" x14ac:dyDescent="0.25"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8:30" x14ac:dyDescent="0.25"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8:30" x14ac:dyDescent="0.25"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8:30" x14ac:dyDescent="0.25"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8:30" x14ac:dyDescent="0.25"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8:30" x14ac:dyDescent="0.25"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8:30" x14ac:dyDescent="0.25"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8:30" x14ac:dyDescent="0.25"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8:30" x14ac:dyDescent="0.25"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8:30" x14ac:dyDescent="0.25"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8:30" x14ac:dyDescent="0.25"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8:30" x14ac:dyDescent="0.25"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8:30" x14ac:dyDescent="0.25"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8:30" x14ac:dyDescent="0.25"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8:30" x14ac:dyDescent="0.25"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8:30" x14ac:dyDescent="0.25"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8:30" x14ac:dyDescent="0.25"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8:30" x14ac:dyDescent="0.25"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8:30" x14ac:dyDescent="0.25"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8:30" x14ac:dyDescent="0.25"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8:30" x14ac:dyDescent="0.25"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8:30" x14ac:dyDescent="0.25"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8:30" x14ac:dyDescent="0.25"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8:30" x14ac:dyDescent="0.25"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8:30" x14ac:dyDescent="0.25"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8:30" x14ac:dyDescent="0.25"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8:30" x14ac:dyDescent="0.25"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8:30" x14ac:dyDescent="0.25"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8:30" x14ac:dyDescent="0.25"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8:30" x14ac:dyDescent="0.25"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8:30" x14ac:dyDescent="0.25"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8:30" x14ac:dyDescent="0.25"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8:30" x14ac:dyDescent="0.25"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8:30" x14ac:dyDescent="0.25"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8:30" x14ac:dyDescent="0.25"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8:30" x14ac:dyDescent="0.25"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8:30" x14ac:dyDescent="0.25"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8:30" x14ac:dyDescent="0.25"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8:30" x14ac:dyDescent="0.25"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8:30" x14ac:dyDescent="0.25"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8:30" x14ac:dyDescent="0.25"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8:30" x14ac:dyDescent="0.25"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8:30" x14ac:dyDescent="0.25"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8:30" x14ac:dyDescent="0.25"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8:30" x14ac:dyDescent="0.25"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8:30" x14ac:dyDescent="0.25"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8:30" x14ac:dyDescent="0.25"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8:30" x14ac:dyDescent="0.25"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8:30" x14ac:dyDescent="0.25"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8:30" x14ac:dyDescent="0.25"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8:30" x14ac:dyDescent="0.25"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8:30" x14ac:dyDescent="0.25"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8:30" x14ac:dyDescent="0.25"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8:30" x14ac:dyDescent="0.25"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8:30" x14ac:dyDescent="0.25"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8:30" x14ac:dyDescent="0.25"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8:30" x14ac:dyDescent="0.25"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8:30" x14ac:dyDescent="0.25"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8:30" x14ac:dyDescent="0.25"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8:30" x14ac:dyDescent="0.25"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8:30" x14ac:dyDescent="0.25"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8:30" x14ac:dyDescent="0.25"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8:30" x14ac:dyDescent="0.25"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8:30" x14ac:dyDescent="0.25"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8:30" x14ac:dyDescent="0.25"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8:30" x14ac:dyDescent="0.25"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8:30" x14ac:dyDescent="0.25"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8:30" x14ac:dyDescent="0.25"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8:30" x14ac:dyDescent="0.25"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8:30" x14ac:dyDescent="0.25"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8:30" x14ac:dyDescent="0.25"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8:30" x14ac:dyDescent="0.25"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8:30" x14ac:dyDescent="0.25"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8:30" x14ac:dyDescent="0.25"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8:30" x14ac:dyDescent="0.25"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8:30" x14ac:dyDescent="0.25"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8:30" x14ac:dyDescent="0.25"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8:30" x14ac:dyDescent="0.25"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8:30" x14ac:dyDescent="0.25"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8:30" x14ac:dyDescent="0.25"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8:30" x14ac:dyDescent="0.25"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8:30" x14ac:dyDescent="0.25"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8:30" x14ac:dyDescent="0.25"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8:30" x14ac:dyDescent="0.25"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8:30" x14ac:dyDescent="0.25"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8:30" x14ac:dyDescent="0.25"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8:30" x14ac:dyDescent="0.25"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8:30" x14ac:dyDescent="0.25"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8:30" x14ac:dyDescent="0.25"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8:30" x14ac:dyDescent="0.25"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8:30" x14ac:dyDescent="0.25"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8:30" x14ac:dyDescent="0.25"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8:30" x14ac:dyDescent="0.25"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8:30" x14ac:dyDescent="0.25"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8:30" x14ac:dyDescent="0.25"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8:30" x14ac:dyDescent="0.25"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8:30" x14ac:dyDescent="0.25"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8:30" x14ac:dyDescent="0.25"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8:30" x14ac:dyDescent="0.25"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8:30" x14ac:dyDescent="0.25"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8:30" x14ac:dyDescent="0.25"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8:30" x14ac:dyDescent="0.25"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8:30" x14ac:dyDescent="0.25"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8:30" x14ac:dyDescent="0.25"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8:30" x14ac:dyDescent="0.25"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8:30" x14ac:dyDescent="0.25"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8:30" x14ac:dyDescent="0.25"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8:30" x14ac:dyDescent="0.25"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8:30" x14ac:dyDescent="0.25"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8:30" x14ac:dyDescent="0.25"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8:30" x14ac:dyDescent="0.25"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8:30" x14ac:dyDescent="0.25"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8:30" x14ac:dyDescent="0.25"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8:30" x14ac:dyDescent="0.25"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8:30" x14ac:dyDescent="0.25"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8:30" x14ac:dyDescent="0.25"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8:30" x14ac:dyDescent="0.25"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8:30" x14ac:dyDescent="0.25"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8:30" x14ac:dyDescent="0.25"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8:30" x14ac:dyDescent="0.25"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8:30" x14ac:dyDescent="0.25"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8:30" x14ac:dyDescent="0.25"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8:30" x14ac:dyDescent="0.25"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8:30" x14ac:dyDescent="0.25"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8:30" x14ac:dyDescent="0.25"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8:30" x14ac:dyDescent="0.25"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8:30" x14ac:dyDescent="0.25"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8:30" x14ac:dyDescent="0.25"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8:30" x14ac:dyDescent="0.25"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8:30" x14ac:dyDescent="0.25"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8:30" x14ac:dyDescent="0.25"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8:30" x14ac:dyDescent="0.25"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8:30" x14ac:dyDescent="0.25"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8:30" x14ac:dyDescent="0.25"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8:30" x14ac:dyDescent="0.25"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8:30" x14ac:dyDescent="0.25"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8:30" x14ac:dyDescent="0.25"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8:30" x14ac:dyDescent="0.25"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8:30" x14ac:dyDescent="0.25"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8:30" x14ac:dyDescent="0.25"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8:30" x14ac:dyDescent="0.25"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8:30" x14ac:dyDescent="0.25"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8:30" x14ac:dyDescent="0.25"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8:30" x14ac:dyDescent="0.25"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8:30" x14ac:dyDescent="0.25"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8:30" x14ac:dyDescent="0.25"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8:30" x14ac:dyDescent="0.25"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8:30" x14ac:dyDescent="0.25"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8:30" x14ac:dyDescent="0.25"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8:30" x14ac:dyDescent="0.25"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8:30" x14ac:dyDescent="0.25"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8:30" x14ac:dyDescent="0.25"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8:30" x14ac:dyDescent="0.25"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8:30" x14ac:dyDescent="0.25"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8:30" x14ac:dyDescent="0.25"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8:30" x14ac:dyDescent="0.25"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8:30" x14ac:dyDescent="0.25"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8:30" x14ac:dyDescent="0.25"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8:30" x14ac:dyDescent="0.25"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8:30" x14ac:dyDescent="0.25"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8:30" x14ac:dyDescent="0.25"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8:30" x14ac:dyDescent="0.25"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8:30" x14ac:dyDescent="0.25"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8:30" x14ac:dyDescent="0.25"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8:30" x14ac:dyDescent="0.25"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8:30" x14ac:dyDescent="0.25"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8:30" x14ac:dyDescent="0.25"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8:30" x14ac:dyDescent="0.25"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8:30" x14ac:dyDescent="0.25"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8:30" x14ac:dyDescent="0.25"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8:30" x14ac:dyDescent="0.25"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8:30" x14ac:dyDescent="0.25"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8:30" x14ac:dyDescent="0.25"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8:30" x14ac:dyDescent="0.25"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8:30" x14ac:dyDescent="0.25"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8:30" x14ac:dyDescent="0.25"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8:30" x14ac:dyDescent="0.25"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8:30" x14ac:dyDescent="0.25"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8:30" x14ac:dyDescent="0.25"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8:30" x14ac:dyDescent="0.25"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8:30" x14ac:dyDescent="0.25"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8:30" x14ac:dyDescent="0.25"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8:30" x14ac:dyDescent="0.25"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8:30" x14ac:dyDescent="0.25"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8:30" x14ac:dyDescent="0.25"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8:30" x14ac:dyDescent="0.25"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8:30" x14ac:dyDescent="0.25"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8:30" x14ac:dyDescent="0.25"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8:30" x14ac:dyDescent="0.25"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8:30" x14ac:dyDescent="0.25"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8:30" x14ac:dyDescent="0.25"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8:30" x14ac:dyDescent="0.25"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8:30" x14ac:dyDescent="0.25"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8:30" x14ac:dyDescent="0.25"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8:30" x14ac:dyDescent="0.25"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8:30" x14ac:dyDescent="0.25"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8:30" x14ac:dyDescent="0.25"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8:30" x14ac:dyDescent="0.25"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8:30" x14ac:dyDescent="0.25"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8:30" x14ac:dyDescent="0.25"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8:30" x14ac:dyDescent="0.25"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8:30" x14ac:dyDescent="0.25"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8:30" x14ac:dyDescent="0.25"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8:30" x14ac:dyDescent="0.25"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8:30" x14ac:dyDescent="0.25"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8:30" x14ac:dyDescent="0.25"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8:30" x14ac:dyDescent="0.25"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8:30" x14ac:dyDescent="0.25"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8:30" x14ac:dyDescent="0.25"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8:30" x14ac:dyDescent="0.25"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8:30" x14ac:dyDescent="0.25"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8:30" x14ac:dyDescent="0.25"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8:30" x14ac:dyDescent="0.25"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8:30" x14ac:dyDescent="0.25"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8:30" x14ac:dyDescent="0.25"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8:30" x14ac:dyDescent="0.25"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8:30" x14ac:dyDescent="0.25"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8:30" x14ac:dyDescent="0.25"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8:30" x14ac:dyDescent="0.25"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8:30" x14ac:dyDescent="0.25"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8:30" x14ac:dyDescent="0.25"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8:30" x14ac:dyDescent="0.25"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8:30" x14ac:dyDescent="0.25"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8:30" x14ac:dyDescent="0.25"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8:30" x14ac:dyDescent="0.25"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8:30" x14ac:dyDescent="0.25"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8:30" x14ac:dyDescent="0.25"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8:30" x14ac:dyDescent="0.25"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8:30" x14ac:dyDescent="0.25"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8:30" x14ac:dyDescent="0.25"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8:30" x14ac:dyDescent="0.25"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8:30" x14ac:dyDescent="0.25"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8:30" x14ac:dyDescent="0.25"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8:30" x14ac:dyDescent="0.25"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8:30" x14ac:dyDescent="0.25"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8:30" x14ac:dyDescent="0.25"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8:30" x14ac:dyDescent="0.25"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8:30" x14ac:dyDescent="0.25"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8:30" x14ac:dyDescent="0.25"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8:30" x14ac:dyDescent="0.25"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8:30" x14ac:dyDescent="0.25"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8:30" x14ac:dyDescent="0.25"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8:30" x14ac:dyDescent="0.25"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8:30" x14ac:dyDescent="0.25"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8:30" x14ac:dyDescent="0.25"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8:30" x14ac:dyDescent="0.25"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8:30" x14ac:dyDescent="0.25"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8:30" x14ac:dyDescent="0.25"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8:30" x14ac:dyDescent="0.25"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8:30" x14ac:dyDescent="0.25"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8:30" x14ac:dyDescent="0.25"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8:30" x14ac:dyDescent="0.25"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8:30" x14ac:dyDescent="0.25"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8:30" x14ac:dyDescent="0.25"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8:30" x14ac:dyDescent="0.25"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8:30" x14ac:dyDescent="0.25"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8:30" x14ac:dyDescent="0.25"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8:30" x14ac:dyDescent="0.25"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8:30" x14ac:dyDescent="0.25"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8:30" x14ac:dyDescent="0.25"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8:30" x14ac:dyDescent="0.25"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8:30" x14ac:dyDescent="0.25"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8:30" x14ac:dyDescent="0.25"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8:30" x14ac:dyDescent="0.25"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8:30" x14ac:dyDescent="0.25"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8:30" x14ac:dyDescent="0.25"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8:30" x14ac:dyDescent="0.25"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8:30" x14ac:dyDescent="0.25"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8:30" x14ac:dyDescent="0.25"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8:30" x14ac:dyDescent="0.25"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8:30" x14ac:dyDescent="0.25"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8:30" x14ac:dyDescent="0.25"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8:30" x14ac:dyDescent="0.25"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8:30" x14ac:dyDescent="0.25"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8:30" x14ac:dyDescent="0.25"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8:30" x14ac:dyDescent="0.25"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8:30" x14ac:dyDescent="0.25"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8:30" x14ac:dyDescent="0.25"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8:30" x14ac:dyDescent="0.25"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8:30" x14ac:dyDescent="0.25"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8:30" x14ac:dyDescent="0.25"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8:30" x14ac:dyDescent="0.25"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8:30" x14ac:dyDescent="0.25"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8:30" x14ac:dyDescent="0.25"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8:30" x14ac:dyDescent="0.25"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8:30" x14ac:dyDescent="0.25"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8:30" x14ac:dyDescent="0.25"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8:30" x14ac:dyDescent="0.25"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8:30" x14ac:dyDescent="0.25"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8:30" x14ac:dyDescent="0.25"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8:30" x14ac:dyDescent="0.25"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8:30" x14ac:dyDescent="0.25"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8:30" x14ac:dyDescent="0.25"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8:30" x14ac:dyDescent="0.25"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8:30" x14ac:dyDescent="0.25"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8:30" x14ac:dyDescent="0.25"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8:30" x14ac:dyDescent="0.25"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8:30" x14ac:dyDescent="0.25"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8:30" x14ac:dyDescent="0.25"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8:30" x14ac:dyDescent="0.25"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8:30" x14ac:dyDescent="0.25"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8:30" x14ac:dyDescent="0.25"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8:30" x14ac:dyDescent="0.25"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8:30" x14ac:dyDescent="0.25"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8:30" x14ac:dyDescent="0.25"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8:30" x14ac:dyDescent="0.25"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8:30" x14ac:dyDescent="0.25"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8:30" x14ac:dyDescent="0.25"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8:30" x14ac:dyDescent="0.25"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8:30" x14ac:dyDescent="0.25"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8:30" x14ac:dyDescent="0.25"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8:30" x14ac:dyDescent="0.25"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8:30" x14ac:dyDescent="0.25"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8:30" x14ac:dyDescent="0.25"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8:30" x14ac:dyDescent="0.25"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8:30" x14ac:dyDescent="0.25"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8:30" x14ac:dyDescent="0.25"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8:30" x14ac:dyDescent="0.25"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8:30" x14ac:dyDescent="0.25"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8:30" x14ac:dyDescent="0.25"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8:30" x14ac:dyDescent="0.25"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8:30" x14ac:dyDescent="0.25"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8:30" x14ac:dyDescent="0.25"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8:30" x14ac:dyDescent="0.25"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8:30" x14ac:dyDescent="0.25"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8:30" x14ac:dyDescent="0.25"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8:30" x14ac:dyDescent="0.25"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8:30" x14ac:dyDescent="0.25"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8:30" x14ac:dyDescent="0.25"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8:30" x14ac:dyDescent="0.25"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8:30" x14ac:dyDescent="0.25"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8:30" x14ac:dyDescent="0.25"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8:30" x14ac:dyDescent="0.25"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8:30" x14ac:dyDescent="0.25"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8:30" x14ac:dyDescent="0.25"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8:30" x14ac:dyDescent="0.25"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8:30" x14ac:dyDescent="0.25"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8:30" x14ac:dyDescent="0.25"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8:30" x14ac:dyDescent="0.25"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8:30" x14ac:dyDescent="0.25"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8:30" x14ac:dyDescent="0.25"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8:30" x14ac:dyDescent="0.25"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8:30" x14ac:dyDescent="0.25"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8:30" x14ac:dyDescent="0.25"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8:30" x14ac:dyDescent="0.25"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8:30" x14ac:dyDescent="0.25"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8:30" x14ac:dyDescent="0.25"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8:30" x14ac:dyDescent="0.25"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8:30" x14ac:dyDescent="0.25"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8:30" x14ac:dyDescent="0.25"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8:30" x14ac:dyDescent="0.25"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8:30" x14ac:dyDescent="0.25"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8:30" x14ac:dyDescent="0.25"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8:30" x14ac:dyDescent="0.25"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8:30" x14ac:dyDescent="0.25"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8:30" x14ac:dyDescent="0.25"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8:30" x14ac:dyDescent="0.25"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8:30" x14ac:dyDescent="0.25"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8:30" x14ac:dyDescent="0.25"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8:30" x14ac:dyDescent="0.25"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8:30" x14ac:dyDescent="0.25"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8:30" x14ac:dyDescent="0.25"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8:30" x14ac:dyDescent="0.25"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8:30" x14ac:dyDescent="0.25"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8:30" x14ac:dyDescent="0.25"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8:30" x14ac:dyDescent="0.25"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8:30" x14ac:dyDescent="0.25"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8:30" x14ac:dyDescent="0.25"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8:30" x14ac:dyDescent="0.25"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8:30" x14ac:dyDescent="0.25"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8:30" x14ac:dyDescent="0.25"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8:30" x14ac:dyDescent="0.25"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8:30" x14ac:dyDescent="0.25"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8:30" x14ac:dyDescent="0.25"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8:30" x14ac:dyDescent="0.25"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8:30" x14ac:dyDescent="0.25"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8:30" x14ac:dyDescent="0.25"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8:30" x14ac:dyDescent="0.25"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8:30" x14ac:dyDescent="0.25"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8:30" x14ac:dyDescent="0.25"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8:30" x14ac:dyDescent="0.25"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8:30" x14ac:dyDescent="0.25"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8:30" x14ac:dyDescent="0.25"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8:30" x14ac:dyDescent="0.25"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8:30" x14ac:dyDescent="0.25"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8:30" x14ac:dyDescent="0.25"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8:30" x14ac:dyDescent="0.25"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8:30" x14ac:dyDescent="0.25"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8:30" x14ac:dyDescent="0.25"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8:30" x14ac:dyDescent="0.25"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8:30" x14ac:dyDescent="0.25"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8:30" x14ac:dyDescent="0.25"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8:30" x14ac:dyDescent="0.25"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8:30" x14ac:dyDescent="0.25"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8:30" x14ac:dyDescent="0.25"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8:30" x14ac:dyDescent="0.25"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8:30" x14ac:dyDescent="0.25"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8:30" x14ac:dyDescent="0.25"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8:30" x14ac:dyDescent="0.25"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8:30" x14ac:dyDescent="0.25"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8:30" x14ac:dyDescent="0.25"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8:30" x14ac:dyDescent="0.25"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8:30" x14ac:dyDescent="0.25"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8:30" x14ac:dyDescent="0.25"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8:30" x14ac:dyDescent="0.25"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8:30" x14ac:dyDescent="0.25"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8:30" x14ac:dyDescent="0.25"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8:30" x14ac:dyDescent="0.25"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8:30" x14ac:dyDescent="0.25"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8:30" x14ac:dyDescent="0.25"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8:30" x14ac:dyDescent="0.25"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8:30" x14ac:dyDescent="0.25"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8:30" x14ac:dyDescent="0.25"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8:30" x14ac:dyDescent="0.25"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8:30" x14ac:dyDescent="0.25"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8:30" x14ac:dyDescent="0.25"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8:30" x14ac:dyDescent="0.25"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8:30" x14ac:dyDescent="0.25"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8:30" x14ac:dyDescent="0.25"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8:30" x14ac:dyDescent="0.25"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8:30" x14ac:dyDescent="0.25"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8:30" x14ac:dyDescent="0.25"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8:30" x14ac:dyDescent="0.25"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8:30" x14ac:dyDescent="0.25"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8:30" x14ac:dyDescent="0.25"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8:30" x14ac:dyDescent="0.25"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8:30" x14ac:dyDescent="0.25"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8:30" x14ac:dyDescent="0.25"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8:30" x14ac:dyDescent="0.25"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8:30" x14ac:dyDescent="0.25"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8:30" x14ac:dyDescent="0.25"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8:30" x14ac:dyDescent="0.25"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8:30" x14ac:dyDescent="0.25"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8:30" x14ac:dyDescent="0.25"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8:30" x14ac:dyDescent="0.25"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8:30" x14ac:dyDescent="0.25"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8:30" x14ac:dyDescent="0.25"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8:30" x14ac:dyDescent="0.25"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8:30" x14ac:dyDescent="0.25"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8:30" x14ac:dyDescent="0.25"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8:30" x14ac:dyDescent="0.25"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8:30" x14ac:dyDescent="0.25"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8:30" x14ac:dyDescent="0.25"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8:30" x14ac:dyDescent="0.25"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8:30" x14ac:dyDescent="0.25"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8:30" x14ac:dyDescent="0.25"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8:30" x14ac:dyDescent="0.25"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8:30" x14ac:dyDescent="0.25"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8:30" x14ac:dyDescent="0.25"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8:30" x14ac:dyDescent="0.25"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8:30" x14ac:dyDescent="0.25"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8:30" x14ac:dyDescent="0.25"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8:30" x14ac:dyDescent="0.25"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8:30" x14ac:dyDescent="0.25"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8:30" x14ac:dyDescent="0.25"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8:30" x14ac:dyDescent="0.25"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8:30" x14ac:dyDescent="0.25"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8:30" x14ac:dyDescent="0.25"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8:30" x14ac:dyDescent="0.25"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8:30" x14ac:dyDescent="0.25"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8:30" x14ac:dyDescent="0.25"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8:30" x14ac:dyDescent="0.25"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8:30" x14ac:dyDescent="0.25"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8:30" x14ac:dyDescent="0.25"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8:30" x14ac:dyDescent="0.25"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8:30" x14ac:dyDescent="0.25"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8:30" x14ac:dyDescent="0.25"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8:30" x14ac:dyDescent="0.25"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8:30" x14ac:dyDescent="0.25"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8:30" x14ac:dyDescent="0.25"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8:30" x14ac:dyDescent="0.25"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8:30" x14ac:dyDescent="0.25"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8:30" x14ac:dyDescent="0.25"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8:30" x14ac:dyDescent="0.25"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8:30" x14ac:dyDescent="0.25"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8:30" x14ac:dyDescent="0.25"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8:30" x14ac:dyDescent="0.25"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8:30" x14ac:dyDescent="0.25"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8:30" x14ac:dyDescent="0.25"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8:30" x14ac:dyDescent="0.25"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8:30" x14ac:dyDescent="0.25"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8:30" x14ac:dyDescent="0.25"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8:30" x14ac:dyDescent="0.25"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8:30" x14ac:dyDescent="0.25"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8:30" x14ac:dyDescent="0.25"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8:30" x14ac:dyDescent="0.25"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8:30" x14ac:dyDescent="0.25"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8:30" x14ac:dyDescent="0.25"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8:30" x14ac:dyDescent="0.25"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8:30" x14ac:dyDescent="0.25"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8:30" x14ac:dyDescent="0.25"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8:30" x14ac:dyDescent="0.25"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8:30" x14ac:dyDescent="0.25"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8:30" x14ac:dyDescent="0.25"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8:30" x14ac:dyDescent="0.25"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8:30" x14ac:dyDescent="0.25"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8:30" x14ac:dyDescent="0.25"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8:30" x14ac:dyDescent="0.25"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8:30" x14ac:dyDescent="0.25"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8:30" x14ac:dyDescent="0.25"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8:30" x14ac:dyDescent="0.25"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8:30" x14ac:dyDescent="0.25"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8:30" x14ac:dyDescent="0.25"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8:30" x14ac:dyDescent="0.25"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8:30" x14ac:dyDescent="0.25"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8:30" x14ac:dyDescent="0.25"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8:30" x14ac:dyDescent="0.25"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8:30" x14ac:dyDescent="0.25"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8:30" x14ac:dyDescent="0.25"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8:30" x14ac:dyDescent="0.25"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8:30" x14ac:dyDescent="0.25"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8:30" x14ac:dyDescent="0.25"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8:30" x14ac:dyDescent="0.25"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8:30" x14ac:dyDescent="0.25"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8:30" x14ac:dyDescent="0.25"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8:30" x14ac:dyDescent="0.25"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8:30" x14ac:dyDescent="0.25"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8:30" x14ac:dyDescent="0.25"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8:30" x14ac:dyDescent="0.25"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8:30" x14ac:dyDescent="0.25"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8:30" x14ac:dyDescent="0.25"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8:30" x14ac:dyDescent="0.25"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8:30" x14ac:dyDescent="0.25"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8:30" x14ac:dyDescent="0.25"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8:30" x14ac:dyDescent="0.25"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8:30" x14ac:dyDescent="0.25"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8:30" x14ac:dyDescent="0.25"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8:30" x14ac:dyDescent="0.25"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8:30" x14ac:dyDescent="0.25"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8:30" x14ac:dyDescent="0.25"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8:30" x14ac:dyDescent="0.25"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8:30" x14ac:dyDescent="0.25"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8:30" x14ac:dyDescent="0.25"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8:30" x14ac:dyDescent="0.25"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8:30" x14ac:dyDescent="0.25"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8:30" x14ac:dyDescent="0.25"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8:30" x14ac:dyDescent="0.25"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8:30" x14ac:dyDescent="0.25"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8:30" x14ac:dyDescent="0.25"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8:30" x14ac:dyDescent="0.25"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8:30" x14ac:dyDescent="0.25"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8:30" x14ac:dyDescent="0.25"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8:30" x14ac:dyDescent="0.25"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8:30" x14ac:dyDescent="0.25"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8:30" x14ac:dyDescent="0.25"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8:30" x14ac:dyDescent="0.25"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8:30" x14ac:dyDescent="0.25"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8:30" x14ac:dyDescent="0.25"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8:30" x14ac:dyDescent="0.25"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8:30" x14ac:dyDescent="0.25"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8:30" x14ac:dyDescent="0.25"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8:30" x14ac:dyDescent="0.25"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8:30" x14ac:dyDescent="0.25"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8:30" x14ac:dyDescent="0.25"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8:30" x14ac:dyDescent="0.25"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8:30" x14ac:dyDescent="0.25"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8:30" x14ac:dyDescent="0.25"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8:30" x14ac:dyDescent="0.25"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8:30" x14ac:dyDescent="0.25"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8:30" x14ac:dyDescent="0.25"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8:30" x14ac:dyDescent="0.25"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8:30" x14ac:dyDescent="0.25"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8:30" x14ac:dyDescent="0.25"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8:30" x14ac:dyDescent="0.25"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8:30" x14ac:dyDescent="0.25"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8:30" x14ac:dyDescent="0.25"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8:30" x14ac:dyDescent="0.25"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8:30" x14ac:dyDescent="0.25"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8:30" x14ac:dyDescent="0.25"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8:30" x14ac:dyDescent="0.25"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8:30" x14ac:dyDescent="0.25"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8:30" x14ac:dyDescent="0.25"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8:30" x14ac:dyDescent="0.25"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8:30" x14ac:dyDescent="0.25"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8:30" x14ac:dyDescent="0.25"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8:30" x14ac:dyDescent="0.25"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8:30" x14ac:dyDescent="0.25"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8:30" x14ac:dyDescent="0.25"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8:30" x14ac:dyDescent="0.25"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8:30" x14ac:dyDescent="0.25"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8:30" x14ac:dyDescent="0.25"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8:30" x14ac:dyDescent="0.25"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8:30" x14ac:dyDescent="0.25"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8:30" x14ac:dyDescent="0.25"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8:30" x14ac:dyDescent="0.25"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8:30" x14ac:dyDescent="0.25"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8:30" x14ac:dyDescent="0.25"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8:30" x14ac:dyDescent="0.25"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8:30" x14ac:dyDescent="0.25"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8:30" x14ac:dyDescent="0.25"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8:30" x14ac:dyDescent="0.25"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8:30" x14ac:dyDescent="0.25"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8:30" x14ac:dyDescent="0.25"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8:30" x14ac:dyDescent="0.25"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8:30" x14ac:dyDescent="0.25"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8:30" x14ac:dyDescent="0.25"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8:30" x14ac:dyDescent="0.25"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8:30" x14ac:dyDescent="0.25"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8:30" x14ac:dyDescent="0.25"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8:30" x14ac:dyDescent="0.25"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8:30" x14ac:dyDescent="0.25"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8:30" x14ac:dyDescent="0.25"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8:30" x14ac:dyDescent="0.25"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8:30" x14ac:dyDescent="0.25"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8:30" x14ac:dyDescent="0.25"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8:30" x14ac:dyDescent="0.25"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8:30" x14ac:dyDescent="0.25"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8:30" x14ac:dyDescent="0.25"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8:30" x14ac:dyDescent="0.25"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8:30" x14ac:dyDescent="0.25"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8:30" x14ac:dyDescent="0.25"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8:30" x14ac:dyDescent="0.25"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8:30" x14ac:dyDescent="0.25"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8:30" x14ac:dyDescent="0.25"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8:30" x14ac:dyDescent="0.25"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8:30" x14ac:dyDescent="0.25"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8:30" x14ac:dyDescent="0.25"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8:30" x14ac:dyDescent="0.25"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8:30" x14ac:dyDescent="0.25"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8:30" x14ac:dyDescent="0.25"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8:30" x14ac:dyDescent="0.25"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8:30" x14ac:dyDescent="0.25"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8:30" x14ac:dyDescent="0.25"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8:30" x14ac:dyDescent="0.25"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8:30" x14ac:dyDescent="0.25"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8:30" x14ac:dyDescent="0.25"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8:30" x14ac:dyDescent="0.25"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8:30" x14ac:dyDescent="0.25"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8:30" x14ac:dyDescent="0.25"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8:30" x14ac:dyDescent="0.25"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8:30" x14ac:dyDescent="0.25"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8:30" x14ac:dyDescent="0.25"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8:30" x14ac:dyDescent="0.25"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8:30" x14ac:dyDescent="0.25"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8:30" x14ac:dyDescent="0.25"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8:30" x14ac:dyDescent="0.25"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8:30" x14ac:dyDescent="0.25"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8:30" x14ac:dyDescent="0.25"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8:30" x14ac:dyDescent="0.25"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8:30" x14ac:dyDescent="0.25"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8:30" x14ac:dyDescent="0.25"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8:30" x14ac:dyDescent="0.25"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8:30" x14ac:dyDescent="0.25"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8:30" x14ac:dyDescent="0.25"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8:30" x14ac:dyDescent="0.25"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8:30" x14ac:dyDescent="0.25"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8:30" x14ac:dyDescent="0.25"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8:30" x14ac:dyDescent="0.25"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8:30" x14ac:dyDescent="0.25"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8:30" x14ac:dyDescent="0.25"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8:30" x14ac:dyDescent="0.25"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8:30" x14ac:dyDescent="0.25"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8:30" x14ac:dyDescent="0.25"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8:30" x14ac:dyDescent="0.25"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8:30" x14ac:dyDescent="0.25"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8:30" x14ac:dyDescent="0.25"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8:30" x14ac:dyDescent="0.25"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8:30" x14ac:dyDescent="0.25"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8:30" x14ac:dyDescent="0.25"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8:30" x14ac:dyDescent="0.25"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8:30" x14ac:dyDescent="0.25"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8:30" x14ac:dyDescent="0.25"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8:30" x14ac:dyDescent="0.25"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8:30" x14ac:dyDescent="0.25"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8:30" x14ac:dyDescent="0.25"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8:30" x14ac:dyDescent="0.25"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8:30" x14ac:dyDescent="0.25"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8:30" x14ac:dyDescent="0.25"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8:30" x14ac:dyDescent="0.25"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8:30" x14ac:dyDescent="0.25"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8:30" x14ac:dyDescent="0.25"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8:30" x14ac:dyDescent="0.25"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8:30" x14ac:dyDescent="0.25"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8:30" x14ac:dyDescent="0.25"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8:30" x14ac:dyDescent="0.25"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8:30" x14ac:dyDescent="0.25"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8:30" x14ac:dyDescent="0.25"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8:30" x14ac:dyDescent="0.25"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8:30" x14ac:dyDescent="0.25"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8:30" x14ac:dyDescent="0.25"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8:30" x14ac:dyDescent="0.25"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8:30" x14ac:dyDescent="0.25"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8:30" x14ac:dyDescent="0.25"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8:30" x14ac:dyDescent="0.25"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8:30" x14ac:dyDescent="0.25"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8:30" x14ac:dyDescent="0.25"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8:30" x14ac:dyDescent="0.25"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8:30" x14ac:dyDescent="0.25"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8:30" x14ac:dyDescent="0.25"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8:30" x14ac:dyDescent="0.25"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8:30" x14ac:dyDescent="0.25"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8:30" x14ac:dyDescent="0.25"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8:30" x14ac:dyDescent="0.25"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8:30" x14ac:dyDescent="0.25"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8:30" x14ac:dyDescent="0.25"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8:30" x14ac:dyDescent="0.25"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8:30" x14ac:dyDescent="0.25"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8:30" x14ac:dyDescent="0.25"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8:30" x14ac:dyDescent="0.25"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8:30" x14ac:dyDescent="0.25"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8:30" x14ac:dyDescent="0.25"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8:30" x14ac:dyDescent="0.25"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8:30" x14ac:dyDescent="0.25"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8:30" x14ac:dyDescent="0.25"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8:30" x14ac:dyDescent="0.25"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8:30" x14ac:dyDescent="0.25"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8:30" x14ac:dyDescent="0.25"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8:30" x14ac:dyDescent="0.25"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8:30" x14ac:dyDescent="0.25"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8:30" x14ac:dyDescent="0.25"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8:30" x14ac:dyDescent="0.25"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8:30" x14ac:dyDescent="0.25"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8:30" x14ac:dyDescent="0.25"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8:30" x14ac:dyDescent="0.25"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8:30" x14ac:dyDescent="0.25"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8:30" x14ac:dyDescent="0.25"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8:30" x14ac:dyDescent="0.25"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8:30" x14ac:dyDescent="0.25"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8:30" x14ac:dyDescent="0.25"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8:30" x14ac:dyDescent="0.25"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8:30" x14ac:dyDescent="0.25"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8:30" x14ac:dyDescent="0.25"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8:30" x14ac:dyDescent="0.25"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8:30" x14ac:dyDescent="0.25"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8:30" x14ac:dyDescent="0.25"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8:30" x14ac:dyDescent="0.25"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8:30" x14ac:dyDescent="0.25"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8:30" x14ac:dyDescent="0.25"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8:30" x14ac:dyDescent="0.25"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8:30" x14ac:dyDescent="0.25"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8:30" x14ac:dyDescent="0.25"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8:30" x14ac:dyDescent="0.25"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8:30" x14ac:dyDescent="0.25"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8:30" x14ac:dyDescent="0.25"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8:30" x14ac:dyDescent="0.25"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8:30" x14ac:dyDescent="0.25"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8:30" x14ac:dyDescent="0.25"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8:30" x14ac:dyDescent="0.25"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8:30" x14ac:dyDescent="0.25"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8:30" x14ac:dyDescent="0.25"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8:30" x14ac:dyDescent="0.25"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8:30" x14ac:dyDescent="0.25"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8:30" x14ac:dyDescent="0.25"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8:30" x14ac:dyDescent="0.25"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8:30" x14ac:dyDescent="0.25"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8:30" x14ac:dyDescent="0.25"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8:30" x14ac:dyDescent="0.25"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8:30" x14ac:dyDescent="0.25"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8:30" x14ac:dyDescent="0.25"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8:30" x14ac:dyDescent="0.25"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8:30" x14ac:dyDescent="0.25"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8:30" x14ac:dyDescent="0.25"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8:30" x14ac:dyDescent="0.25"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8:30" x14ac:dyDescent="0.25"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8:30" x14ac:dyDescent="0.25"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8:30" x14ac:dyDescent="0.25"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8:30" x14ac:dyDescent="0.25"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8:30" x14ac:dyDescent="0.25"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8:30" x14ac:dyDescent="0.25"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8:30" x14ac:dyDescent="0.25"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8:30" x14ac:dyDescent="0.25"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8:30" x14ac:dyDescent="0.25"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8:30" x14ac:dyDescent="0.25"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8:30" x14ac:dyDescent="0.25"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8:30" x14ac:dyDescent="0.25"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8:30" x14ac:dyDescent="0.25"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8:30" x14ac:dyDescent="0.25"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8:30" x14ac:dyDescent="0.25"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8:30" x14ac:dyDescent="0.25"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8:30" x14ac:dyDescent="0.25"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8:30" x14ac:dyDescent="0.25"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8:30" x14ac:dyDescent="0.25"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8:30" x14ac:dyDescent="0.25"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8:30" x14ac:dyDescent="0.25"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8:30" x14ac:dyDescent="0.25"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8:30" x14ac:dyDescent="0.25"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8:30" x14ac:dyDescent="0.25"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8:30" x14ac:dyDescent="0.25"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8:30" x14ac:dyDescent="0.25"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8:30" x14ac:dyDescent="0.25"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8:30" x14ac:dyDescent="0.25"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8:30" x14ac:dyDescent="0.25"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8:30" x14ac:dyDescent="0.25"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8:30" x14ac:dyDescent="0.25"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8:30" x14ac:dyDescent="0.25"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8:30" x14ac:dyDescent="0.25"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8:30" x14ac:dyDescent="0.25"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8:30" x14ac:dyDescent="0.25"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8:30" x14ac:dyDescent="0.25"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8:30" x14ac:dyDescent="0.25"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8:30" x14ac:dyDescent="0.25"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8:30" x14ac:dyDescent="0.25"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8:30" x14ac:dyDescent="0.25"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8:30" x14ac:dyDescent="0.25"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8:30" x14ac:dyDescent="0.25"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8:30" x14ac:dyDescent="0.25"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8:30" x14ac:dyDescent="0.25"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8:30" x14ac:dyDescent="0.25"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8:30" x14ac:dyDescent="0.25"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8:30" x14ac:dyDescent="0.25"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8:30" x14ac:dyDescent="0.25"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8:30" x14ac:dyDescent="0.25"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8:30" x14ac:dyDescent="0.25"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8:30" x14ac:dyDescent="0.25"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8:30" x14ac:dyDescent="0.25"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8:30" x14ac:dyDescent="0.25"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8:30" x14ac:dyDescent="0.25"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8:30" x14ac:dyDescent="0.25"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8:30" x14ac:dyDescent="0.25"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8:30" x14ac:dyDescent="0.25"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8:30" x14ac:dyDescent="0.25"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8:30" x14ac:dyDescent="0.25"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8:30" x14ac:dyDescent="0.25"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8:30" x14ac:dyDescent="0.25"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8:30" x14ac:dyDescent="0.25"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8:30" x14ac:dyDescent="0.25"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8:30" x14ac:dyDescent="0.25"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8:30" x14ac:dyDescent="0.25"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8:30" x14ac:dyDescent="0.25"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8:30" x14ac:dyDescent="0.25"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8:30" x14ac:dyDescent="0.25"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8:30" x14ac:dyDescent="0.25"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8:30" x14ac:dyDescent="0.25"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8:30" x14ac:dyDescent="0.25"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8:30" x14ac:dyDescent="0.25"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8:30" x14ac:dyDescent="0.25"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8:30" x14ac:dyDescent="0.25"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8:30" x14ac:dyDescent="0.25"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8:30" x14ac:dyDescent="0.25"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8:30" x14ac:dyDescent="0.25"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8:30" x14ac:dyDescent="0.25"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8:30" x14ac:dyDescent="0.25"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8:30" x14ac:dyDescent="0.25"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8:30" x14ac:dyDescent="0.25"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8:30" x14ac:dyDescent="0.25"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8:30" x14ac:dyDescent="0.25"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8:30" x14ac:dyDescent="0.25"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8:30" x14ac:dyDescent="0.25"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8:30" x14ac:dyDescent="0.25"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8:30" x14ac:dyDescent="0.25"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8:30" x14ac:dyDescent="0.25"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8:30" x14ac:dyDescent="0.25"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8:30" x14ac:dyDescent="0.25"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8:30" x14ac:dyDescent="0.25"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8:30" x14ac:dyDescent="0.25"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8:30" x14ac:dyDescent="0.25"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8:30" x14ac:dyDescent="0.25"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8:30" x14ac:dyDescent="0.25"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8:30" x14ac:dyDescent="0.25"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8:30" x14ac:dyDescent="0.25"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8:30" x14ac:dyDescent="0.25"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8:30" x14ac:dyDescent="0.25"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8:30" x14ac:dyDescent="0.25"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8:30" x14ac:dyDescent="0.25"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8:30" x14ac:dyDescent="0.25"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8:30" x14ac:dyDescent="0.25"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8:30" x14ac:dyDescent="0.25"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8:30" x14ac:dyDescent="0.25"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8:30" x14ac:dyDescent="0.25"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8:30" x14ac:dyDescent="0.25"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8:30" x14ac:dyDescent="0.25"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8:30" x14ac:dyDescent="0.25"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8:30" x14ac:dyDescent="0.25"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8:30" x14ac:dyDescent="0.25"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8:30" x14ac:dyDescent="0.25"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8:30" x14ac:dyDescent="0.25"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8:30" x14ac:dyDescent="0.25"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8:30" x14ac:dyDescent="0.25"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8:30" x14ac:dyDescent="0.25"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8:30" x14ac:dyDescent="0.25"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8:30" x14ac:dyDescent="0.25"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8:30" x14ac:dyDescent="0.25"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8:30" x14ac:dyDescent="0.25"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8:30" x14ac:dyDescent="0.25"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8:30" x14ac:dyDescent="0.25"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8:30" x14ac:dyDescent="0.25"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8:30" x14ac:dyDescent="0.25"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8:30" x14ac:dyDescent="0.25"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8:30" x14ac:dyDescent="0.25"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8:30" x14ac:dyDescent="0.25"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8:30" x14ac:dyDescent="0.25"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8:30" x14ac:dyDescent="0.25"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8:30" x14ac:dyDescent="0.25"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8:30" x14ac:dyDescent="0.25"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8:30" x14ac:dyDescent="0.25"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8:30" x14ac:dyDescent="0.25"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8:30" x14ac:dyDescent="0.25"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8:30" x14ac:dyDescent="0.25"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8:30" x14ac:dyDescent="0.25"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8:30" x14ac:dyDescent="0.25"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8:30" x14ac:dyDescent="0.25"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8:30" x14ac:dyDescent="0.25"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8:30" x14ac:dyDescent="0.25"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8:30" x14ac:dyDescent="0.25"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8:30" x14ac:dyDescent="0.25"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8:30" x14ac:dyDescent="0.25"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8:30" x14ac:dyDescent="0.25"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8:30" x14ac:dyDescent="0.25"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8:30" x14ac:dyDescent="0.25"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8:30" x14ac:dyDescent="0.25"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8:30" x14ac:dyDescent="0.25"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8:30" x14ac:dyDescent="0.25"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8:30" x14ac:dyDescent="0.25"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8:30" x14ac:dyDescent="0.25"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8:30" x14ac:dyDescent="0.25"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8:30" x14ac:dyDescent="0.25"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8:30" x14ac:dyDescent="0.25"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8:30" x14ac:dyDescent="0.25"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8:30" x14ac:dyDescent="0.25"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8:30" x14ac:dyDescent="0.25"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8:30" x14ac:dyDescent="0.25"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8:30" x14ac:dyDescent="0.25"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8:30" x14ac:dyDescent="0.25"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8:30" x14ac:dyDescent="0.25"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8:30" x14ac:dyDescent="0.25"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8:30" x14ac:dyDescent="0.25"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8:30" x14ac:dyDescent="0.25"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8:30" x14ac:dyDescent="0.25"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8:30" x14ac:dyDescent="0.25"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8:30" x14ac:dyDescent="0.25"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8:30" x14ac:dyDescent="0.25"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8:30" x14ac:dyDescent="0.25"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8:30" x14ac:dyDescent="0.25"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8:30" x14ac:dyDescent="0.25"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8:30" x14ac:dyDescent="0.25"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8:30" x14ac:dyDescent="0.25"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8:30" x14ac:dyDescent="0.25"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8:30" x14ac:dyDescent="0.25"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8:30" x14ac:dyDescent="0.25"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8:30" x14ac:dyDescent="0.25"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8:30" x14ac:dyDescent="0.25"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8:30" x14ac:dyDescent="0.25"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8:30" x14ac:dyDescent="0.25"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8:30" x14ac:dyDescent="0.25"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8:30" x14ac:dyDescent="0.25"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8:30" x14ac:dyDescent="0.25"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8:30" x14ac:dyDescent="0.25"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8:30" x14ac:dyDescent="0.25"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8:30" x14ac:dyDescent="0.25"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8:30" x14ac:dyDescent="0.25"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8:30" x14ac:dyDescent="0.25"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8:30" x14ac:dyDescent="0.25"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8:30" x14ac:dyDescent="0.25"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8:30" x14ac:dyDescent="0.25"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8:30" x14ac:dyDescent="0.25"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8:30" x14ac:dyDescent="0.25"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8:30" x14ac:dyDescent="0.25"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8:30" x14ac:dyDescent="0.25"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8:30" x14ac:dyDescent="0.25"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8:30" x14ac:dyDescent="0.25"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8:30" x14ac:dyDescent="0.25"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8:30" x14ac:dyDescent="0.25"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8:30" x14ac:dyDescent="0.25"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8:30" x14ac:dyDescent="0.25"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8:30" x14ac:dyDescent="0.25"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8:30" x14ac:dyDescent="0.25"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8:30" x14ac:dyDescent="0.25"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8:30" x14ac:dyDescent="0.25"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8:30" x14ac:dyDescent="0.25"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8:30" x14ac:dyDescent="0.25"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8:30" x14ac:dyDescent="0.25"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8:30" x14ac:dyDescent="0.25"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8:30" x14ac:dyDescent="0.25"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8:30" x14ac:dyDescent="0.25"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8:30" x14ac:dyDescent="0.25"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8:30" x14ac:dyDescent="0.25"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8:30" x14ac:dyDescent="0.25"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8:30" x14ac:dyDescent="0.25"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8:30" x14ac:dyDescent="0.25"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8:30" x14ac:dyDescent="0.25"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8:30" x14ac:dyDescent="0.25"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8:30" x14ac:dyDescent="0.25"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8:30" x14ac:dyDescent="0.25"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8:30" x14ac:dyDescent="0.25"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8:30" x14ac:dyDescent="0.25"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8:30" x14ac:dyDescent="0.25"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8:30" x14ac:dyDescent="0.25"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8:30" x14ac:dyDescent="0.25"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8:30" x14ac:dyDescent="0.25"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8:30" x14ac:dyDescent="0.25"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8:30" x14ac:dyDescent="0.25"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8:30" x14ac:dyDescent="0.25"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8:30" x14ac:dyDescent="0.25"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8:30" x14ac:dyDescent="0.25"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8:30" x14ac:dyDescent="0.25"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8:30" x14ac:dyDescent="0.25"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8:30" x14ac:dyDescent="0.25"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8:30" x14ac:dyDescent="0.25"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8:30" x14ac:dyDescent="0.25"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8:30" x14ac:dyDescent="0.25"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8:30" x14ac:dyDescent="0.25"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8:30" x14ac:dyDescent="0.25"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8:30" x14ac:dyDescent="0.25"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8:30" x14ac:dyDescent="0.25"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8:30" x14ac:dyDescent="0.25"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8:30" x14ac:dyDescent="0.25"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8:30" x14ac:dyDescent="0.25"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8:30" x14ac:dyDescent="0.25"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8:30" x14ac:dyDescent="0.25"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8:30" x14ac:dyDescent="0.25"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8:30" x14ac:dyDescent="0.25"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8:30" x14ac:dyDescent="0.25"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8:30" x14ac:dyDescent="0.25"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8:30" x14ac:dyDescent="0.25"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8:30" x14ac:dyDescent="0.25"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8:30" x14ac:dyDescent="0.25"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8:30" x14ac:dyDescent="0.25"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8:30" x14ac:dyDescent="0.25"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8:30" x14ac:dyDescent="0.25"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8:30" x14ac:dyDescent="0.25"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8:30" x14ac:dyDescent="0.25"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8:30" x14ac:dyDescent="0.25"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8:30" x14ac:dyDescent="0.25"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8:30" x14ac:dyDescent="0.25"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8:30" x14ac:dyDescent="0.25"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8:30" x14ac:dyDescent="0.25"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8:30" x14ac:dyDescent="0.25"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8:30" x14ac:dyDescent="0.25"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8:30" x14ac:dyDescent="0.25"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8:30" x14ac:dyDescent="0.25"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8:30" x14ac:dyDescent="0.25"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8:30" x14ac:dyDescent="0.25"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8:30" x14ac:dyDescent="0.25"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8:30" x14ac:dyDescent="0.25"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8:30" x14ac:dyDescent="0.25"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8:30" x14ac:dyDescent="0.25"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8:30" x14ac:dyDescent="0.25"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8:30" x14ac:dyDescent="0.25"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8:30" x14ac:dyDescent="0.25"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8:30" x14ac:dyDescent="0.25"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8:30" x14ac:dyDescent="0.25"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8:30" x14ac:dyDescent="0.25"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8:30" x14ac:dyDescent="0.25"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8:30" x14ac:dyDescent="0.25"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8:30" x14ac:dyDescent="0.25"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8:30" x14ac:dyDescent="0.25"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8:30" x14ac:dyDescent="0.25"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8:30" x14ac:dyDescent="0.25"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8:30" x14ac:dyDescent="0.25"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8:30" x14ac:dyDescent="0.25"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8:30" x14ac:dyDescent="0.25"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8:30" x14ac:dyDescent="0.25"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8:30" x14ac:dyDescent="0.25"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8:30" x14ac:dyDescent="0.25"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8:30" x14ac:dyDescent="0.25"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8:30" x14ac:dyDescent="0.25"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8:30" x14ac:dyDescent="0.25"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8:30" x14ac:dyDescent="0.25"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8:30" x14ac:dyDescent="0.25"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8:30" x14ac:dyDescent="0.25"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8:30" x14ac:dyDescent="0.25"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8:30" x14ac:dyDescent="0.25"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8:30" x14ac:dyDescent="0.25"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8:30" x14ac:dyDescent="0.25"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8:30" x14ac:dyDescent="0.25"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8:30" x14ac:dyDescent="0.25"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8:30" x14ac:dyDescent="0.25"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8:30" x14ac:dyDescent="0.25"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8:30" x14ac:dyDescent="0.25"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8:30" x14ac:dyDescent="0.25"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8:30" x14ac:dyDescent="0.25"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8:30" x14ac:dyDescent="0.25"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8:30" x14ac:dyDescent="0.25"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8:30" x14ac:dyDescent="0.25"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8:30" x14ac:dyDescent="0.25"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8:30" x14ac:dyDescent="0.25"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8:30" x14ac:dyDescent="0.25"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8:30" x14ac:dyDescent="0.25"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8:30" x14ac:dyDescent="0.25"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8:30" x14ac:dyDescent="0.25"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8:30" x14ac:dyDescent="0.25"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8:30" x14ac:dyDescent="0.25"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8:30" x14ac:dyDescent="0.25"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8:30" x14ac:dyDescent="0.25"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8:30" x14ac:dyDescent="0.25"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8:30" x14ac:dyDescent="0.25"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8:30" x14ac:dyDescent="0.25"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8:30" x14ac:dyDescent="0.25"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8:30" x14ac:dyDescent="0.25"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8:30" x14ac:dyDescent="0.25"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8:30" x14ac:dyDescent="0.25"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8:30" x14ac:dyDescent="0.25"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8:30" x14ac:dyDescent="0.25"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8:30" x14ac:dyDescent="0.25"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8:30" x14ac:dyDescent="0.25"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8:30" x14ac:dyDescent="0.25"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8:30" x14ac:dyDescent="0.25"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8:30" x14ac:dyDescent="0.25"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8:30" x14ac:dyDescent="0.25"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8:30" x14ac:dyDescent="0.25"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8:30" x14ac:dyDescent="0.25"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8:30" x14ac:dyDescent="0.25"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8:30" x14ac:dyDescent="0.25"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8:30" x14ac:dyDescent="0.25"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8:30" x14ac:dyDescent="0.25"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8:30" x14ac:dyDescent="0.25"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8:30" x14ac:dyDescent="0.25"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8:30" x14ac:dyDescent="0.25"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8:30" x14ac:dyDescent="0.25"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8:30" x14ac:dyDescent="0.25"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8:30" x14ac:dyDescent="0.25"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8:30" x14ac:dyDescent="0.25"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8:30" x14ac:dyDescent="0.25"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8:30" x14ac:dyDescent="0.25"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8:30" x14ac:dyDescent="0.25"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8:30" x14ac:dyDescent="0.25"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8:30" x14ac:dyDescent="0.25"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8:30" x14ac:dyDescent="0.25"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8:30" x14ac:dyDescent="0.25"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8:30" x14ac:dyDescent="0.25"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8:30" x14ac:dyDescent="0.25"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8:30" x14ac:dyDescent="0.25"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8:30" x14ac:dyDescent="0.25"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8:30" x14ac:dyDescent="0.25"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8:30" x14ac:dyDescent="0.25"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8:30" x14ac:dyDescent="0.25"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8:30" x14ac:dyDescent="0.25"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8:30" x14ac:dyDescent="0.25"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8:30" x14ac:dyDescent="0.25"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8:30" x14ac:dyDescent="0.25"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8:30" x14ac:dyDescent="0.25"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8:30" x14ac:dyDescent="0.25"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8:30" x14ac:dyDescent="0.25"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8:30" x14ac:dyDescent="0.25"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8:30" x14ac:dyDescent="0.25"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8:30" x14ac:dyDescent="0.25"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8:30" x14ac:dyDescent="0.25"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8:30" x14ac:dyDescent="0.25"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8:30" x14ac:dyDescent="0.25"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8:30" x14ac:dyDescent="0.25"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8:30" x14ac:dyDescent="0.25"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8:30" x14ac:dyDescent="0.25"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8:30" x14ac:dyDescent="0.25"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8:30" x14ac:dyDescent="0.25"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8:30" x14ac:dyDescent="0.25"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8:30" x14ac:dyDescent="0.25"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8:30" x14ac:dyDescent="0.25"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8:30" x14ac:dyDescent="0.25"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8:30" x14ac:dyDescent="0.25"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8:30" x14ac:dyDescent="0.25"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8:30" x14ac:dyDescent="0.25"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8:30" x14ac:dyDescent="0.25"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8:30" x14ac:dyDescent="0.25"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8:30" x14ac:dyDescent="0.25"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8:30" x14ac:dyDescent="0.25"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8:30" x14ac:dyDescent="0.25"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8:30" x14ac:dyDescent="0.25"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8:30" x14ac:dyDescent="0.25"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8:30" x14ac:dyDescent="0.25"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8:30" x14ac:dyDescent="0.25"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8:30" x14ac:dyDescent="0.25"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8:30" x14ac:dyDescent="0.25"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8:30" x14ac:dyDescent="0.25"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8:30" x14ac:dyDescent="0.25"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8:30" x14ac:dyDescent="0.25"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8:30" x14ac:dyDescent="0.25"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8:30" x14ac:dyDescent="0.25"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8:30" x14ac:dyDescent="0.25"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8:30" x14ac:dyDescent="0.25"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8:30" x14ac:dyDescent="0.25"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8:30" x14ac:dyDescent="0.25"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8:30" x14ac:dyDescent="0.25"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8:30" x14ac:dyDescent="0.25"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8:30" x14ac:dyDescent="0.25"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8:30" x14ac:dyDescent="0.25"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8:30" x14ac:dyDescent="0.25"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8:30" x14ac:dyDescent="0.25"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8:30" x14ac:dyDescent="0.25"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8:30" x14ac:dyDescent="0.25"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8:30" x14ac:dyDescent="0.25"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8:30" x14ac:dyDescent="0.25"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8:30" x14ac:dyDescent="0.25"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8:30" x14ac:dyDescent="0.25"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8:30" x14ac:dyDescent="0.25"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8:30" x14ac:dyDescent="0.25"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8:30" x14ac:dyDescent="0.25"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8:30" x14ac:dyDescent="0.25"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8:30" x14ac:dyDescent="0.25"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8:30" x14ac:dyDescent="0.25"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8:30" x14ac:dyDescent="0.25"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8:30" x14ac:dyDescent="0.25"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8:30" x14ac:dyDescent="0.25"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8:30" x14ac:dyDescent="0.25"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8:30" x14ac:dyDescent="0.25"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8:30" x14ac:dyDescent="0.25"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8:30" x14ac:dyDescent="0.25"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8:30" x14ac:dyDescent="0.25"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8:30" x14ac:dyDescent="0.25"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8:30" x14ac:dyDescent="0.25"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8:30" x14ac:dyDescent="0.25"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8:30" x14ac:dyDescent="0.25"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8:30" x14ac:dyDescent="0.25"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8:30" x14ac:dyDescent="0.25"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8:30" x14ac:dyDescent="0.25"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8:30" x14ac:dyDescent="0.25"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8:30" x14ac:dyDescent="0.25"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8:30" x14ac:dyDescent="0.25"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8:30" x14ac:dyDescent="0.25"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8:30" x14ac:dyDescent="0.25"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8:30" x14ac:dyDescent="0.25"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8:30" x14ac:dyDescent="0.25"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8:30" x14ac:dyDescent="0.25"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8:30" x14ac:dyDescent="0.25"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8:30" x14ac:dyDescent="0.25"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8:30" x14ac:dyDescent="0.25"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8:30" x14ac:dyDescent="0.25"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8:30" x14ac:dyDescent="0.25"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8:30" x14ac:dyDescent="0.25"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8:30" x14ac:dyDescent="0.25"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8:30" x14ac:dyDescent="0.25"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8:30" x14ac:dyDescent="0.25"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8:30" x14ac:dyDescent="0.25"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8:30" x14ac:dyDescent="0.25"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8:30" x14ac:dyDescent="0.25"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8:30" x14ac:dyDescent="0.25"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8:30" x14ac:dyDescent="0.25"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8:30" x14ac:dyDescent="0.25"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8:30" x14ac:dyDescent="0.25"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8:30" x14ac:dyDescent="0.25"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8:30" x14ac:dyDescent="0.25"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8:30" x14ac:dyDescent="0.25"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8:30" x14ac:dyDescent="0.25"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8:30" x14ac:dyDescent="0.25"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8:30" x14ac:dyDescent="0.25"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8:30" x14ac:dyDescent="0.25"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8:30" x14ac:dyDescent="0.25"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8:30" x14ac:dyDescent="0.25"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8:30" x14ac:dyDescent="0.25"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8:30" x14ac:dyDescent="0.25"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8:30" x14ac:dyDescent="0.25"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8:30" x14ac:dyDescent="0.25"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8:30" x14ac:dyDescent="0.25"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8:30" x14ac:dyDescent="0.25"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8:30" x14ac:dyDescent="0.25"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8:30" x14ac:dyDescent="0.25"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8:30" x14ac:dyDescent="0.25"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8:30" x14ac:dyDescent="0.25"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8:30" x14ac:dyDescent="0.25"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8:30" x14ac:dyDescent="0.25"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8:30" x14ac:dyDescent="0.25"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8:30" x14ac:dyDescent="0.25"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8:30" x14ac:dyDescent="0.25"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8:30" x14ac:dyDescent="0.25"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8:30" x14ac:dyDescent="0.25"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8:30" x14ac:dyDescent="0.25"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8:30" x14ac:dyDescent="0.25"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8:30" x14ac:dyDescent="0.25"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8:30" x14ac:dyDescent="0.25"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8:30" x14ac:dyDescent="0.25"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8:30" x14ac:dyDescent="0.25"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8:30" x14ac:dyDescent="0.25"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8:30" x14ac:dyDescent="0.25"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8:30" x14ac:dyDescent="0.25"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8:30" x14ac:dyDescent="0.25"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8:30" x14ac:dyDescent="0.25"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8:30" x14ac:dyDescent="0.25"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8:30" x14ac:dyDescent="0.25"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8:30" x14ac:dyDescent="0.25"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8:30" x14ac:dyDescent="0.25"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8:30" x14ac:dyDescent="0.25"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8:30" x14ac:dyDescent="0.25"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8:30" x14ac:dyDescent="0.25"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8:30" x14ac:dyDescent="0.25"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8:30" x14ac:dyDescent="0.25"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8:30" x14ac:dyDescent="0.25"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8:30" x14ac:dyDescent="0.25"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8:30" x14ac:dyDescent="0.25"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8:30" x14ac:dyDescent="0.25"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8:30" x14ac:dyDescent="0.25"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8:30" x14ac:dyDescent="0.25"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8:30" x14ac:dyDescent="0.25"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8:30" x14ac:dyDescent="0.25"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8:30" x14ac:dyDescent="0.25"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8:30" x14ac:dyDescent="0.25"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8:30" x14ac:dyDescent="0.25"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8:30" x14ac:dyDescent="0.25"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8:30" x14ac:dyDescent="0.25"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8:30" x14ac:dyDescent="0.25"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8:30" x14ac:dyDescent="0.25"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8:30" x14ac:dyDescent="0.25"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8:30" x14ac:dyDescent="0.25"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8:30" x14ac:dyDescent="0.25"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8:30" x14ac:dyDescent="0.25"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8:30" x14ac:dyDescent="0.25"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8:30" x14ac:dyDescent="0.25"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8:30" x14ac:dyDescent="0.25"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8:30" x14ac:dyDescent="0.25"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8:30" x14ac:dyDescent="0.25"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8:30" x14ac:dyDescent="0.25"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8:30" x14ac:dyDescent="0.25"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8:30" x14ac:dyDescent="0.25"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8:30" x14ac:dyDescent="0.25"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8:30" x14ac:dyDescent="0.25"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8:30" x14ac:dyDescent="0.25"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8:30" x14ac:dyDescent="0.25"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8:30" x14ac:dyDescent="0.25"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8:30" x14ac:dyDescent="0.25"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8:30" x14ac:dyDescent="0.25"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8:30" x14ac:dyDescent="0.25"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8:30" x14ac:dyDescent="0.25"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8:30" x14ac:dyDescent="0.25"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8:30" x14ac:dyDescent="0.25"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8:30" x14ac:dyDescent="0.25"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8:30" x14ac:dyDescent="0.25"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8:30" x14ac:dyDescent="0.25"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8:30" x14ac:dyDescent="0.25"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8:30" x14ac:dyDescent="0.25"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8:30" x14ac:dyDescent="0.25"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8:30" x14ac:dyDescent="0.25"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8:30" x14ac:dyDescent="0.25"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8:30" x14ac:dyDescent="0.25"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8:30" x14ac:dyDescent="0.25"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8:30" x14ac:dyDescent="0.25"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8:30" x14ac:dyDescent="0.25"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8:30" x14ac:dyDescent="0.25"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8:30" x14ac:dyDescent="0.25"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8:30" x14ac:dyDescent="0.25"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8:30" x14ac:dyDescent="0.25"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8:30" x14ac:dyDescent="0.25"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8:30" x14ac:dyDescent="0.25"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8:30" x14ac:dyDescent="0.25"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8:30" x14ac:dyDescent="0.25"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8:30" x14ac:dyDescent="0.25"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8:30" x14ac:dyDescent="0.25"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8:30" x14ac:dyDescent="0.25"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8:30" x14ac:dyDescent="0.25"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8:30" x14ac:dyDescent="0.25"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8:30" x14ac:dyDescent="0.25"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8:30" x14ac:dyDescent="0.25"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8:30" x14ac:dyDescent="0.25"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8:30" x14ac:dyDescent="0.25"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8:30" x14ac:dyDescent="0.25"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8:30" x14ac:dyDescent="0.25"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8:30" x14ac:dyDescent="0.25"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8:30" x14ac:dyDescent="0.25"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8:30" x14ac:dyDescent="0.25"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8:30" x14ac:dyDescent="0.25"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8:30" x14ac:dyDescent="0.25"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8:30" x14ac:dyDescent="0.25"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8:30" x14ac:dyDescent="0.25"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8:30" x14ac:dyDescent="0.25"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8:30" x14ac:dyDescent="0.25"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8:30" x14ac:dyDescent="0.25"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8:30" x14ac:dyDescent="0.25"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8:30" x14ac:dyDescent="0.25"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8:30" x14ac:dyDescent="0.25"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8:30" x14ac:dyDescent="0.25"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8:30" x14ac:dyDescent="0.25"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8:30" x14ac:dyDescent="0.25"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8:30" x14ac:dyDescent="0.25"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8:30" x14ac:dyDescent="0.25"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8:30" x14ac:dyDescent="0.25"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8:30" x14ac:dyDescent="0.25"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8:30" x14ac:dyDescent="0.25"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8:30" x14ac:dyDescent="0.25"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8:30" x14ac:dyDescent="0.25"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8:30" x14ac:dyDescent="0.25"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8:30" x14ac:dyDescent="0.25"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8:30" x14ac:dyDescent="0.25"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8:30" x14ac:dyDescent="0.25"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8:30" x14ac:dyDescent="0.25"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8:30" x14ac:dyDescent="0.25"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8:30" x14ac:dyDescent="0.25"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8:30" x14ac:dyDescent="0.25"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8:30" x14ac:dyDescent="0.25"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8:30" x14ac:dyDescent="0.25"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8:30" x14ac:dyDescent="0.25"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8:30" x14ac:dyDescent="0.25"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8:30" x14ac:dyDescent="0.25"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8:30" x14ac:dyDescent="0.25"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8:30" x14ac:dyDescent="0.25"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8:30" x14ac:dyDescent="0.25"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8:30" x14ac:dyDescent="0.25"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8:30" x14ac:dyDescent="0.25"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8:30" x14ac:dyDescent="0.25"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8:30" x14ac:dyDescent="0.25"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8:30" x14ac:dyDescent="0.25"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8:30" x14ac:dyDescent="0.25"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8:30" x14ac:dyDescent="0.25"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8:30" x14ac:dyDescent="0.25"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8:30" x14ac:dyDescent="0.25"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8:30" x14ac:dyDescent="0.25"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8:30" x14ac:dyDescent="0.25"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8:30" x14ac:dyDescent="0.25"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8:30" x14ac:dyDescent="0.25"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8:30" x14ac:dyDescent="0.25"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8:30" x14ac:dyDescent="0.25"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8:30" x14ac:dyDescent="0.25"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8:30" x14ac:dyDescent="0.25"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8:30" x14ac:dyDescent="0.25"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8:30" x14ac:dyDescent="0.25"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8:30" x14ac:dyDescent="0.25"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8:30" x14ac:dyDescent="0.25"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8:30" x14ac:dyDescent="0.25"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8:30" x14ac:dyDescent="0.25"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8:30" x14ac:dyDescent="0.25"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8:30" x14ac:dyDescent="0.25"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8:30" x14ac:dyDescent="0.25"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8:30" x14ac:dyDescent="0.25"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8:30" x14ac:dyDescent="0.25"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8:30" x14ac:dyDescent="0.25"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8:30" x14ac:dyDescent="0.25"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8:30" x14ac:dyDescent="0.25"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8:30" x14ac:dyDescent="0.25"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8:30" x14ac:dyDescent="0.25"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8:30" x14ac:dyDescent="0.25"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8:30" x14ac:dyDescent="0.25"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8:30" x14ac:dyDescent="0.25"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8:30" x14ac:dyDescent="0.25"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8:30" x14ac:dyDescent="0.25"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8:30" x14ac:dyDescent="0.25"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8:30" x14ac:dyDescent="0.25"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8:30" x14ac:dyDescent="0.25"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8:30" x14ac:dyDescent="0.25"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8:30" x14ac:dyDescent="0.25"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8:30" x14ac:dyDescent="0.25"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8:30" x14ac:dyDescent="0.25"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8:30" x14ac:dyDescent="0.25"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8:30" x14ac:dyDescent="0.25"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8:30" x14ac:dyDescent="0.25"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8:30" x14ac:dyDescent="0.25"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8:30" x14ac:dyDescent="0.25"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8:30" x14ac:dyDescent="0.25"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8:30" x14ac:dyDescent="0.25"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8:30" x14ac:dyDescent="0.25"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8:30" x14ac:dyDescent="0.25"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8:30" x14ac:dyDescent="0.25"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8:30" x14ac:dyDescent="0.25"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8:30" x14ac:dyDescent="0.25"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8:30" x14ac:dyDescent="0.25"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8:30" x14ac:dyDescent="0.25"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8:30" x14ac:dyDescent="0.25"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8:30" x14ac:dyDescent="0.25"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8:30" x14ac:dyDescent="0.25"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8:30" x14ac:dyDescent="0.25"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8:30" x14ac:dyDescent="0.25"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8:30" x14ac:dyDescent="0.25"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8:30" x14ac:dyDescent="0.25"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8:30" x14ac:dyDescent="0.25"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8:30" x14ac:dyDescent="0.25"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8:30" x14ac:dyDescent="0.25"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8:30" x14ac:dyDescent="0.25"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8:30" x14ac:dyDescent="0.25"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8:30" x14ac:dyDescent="0.25"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8:30" x14ac:dyDescent="0.25"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8:30" x14ac:dyDescent="0.25"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8:30" x14ac:dyDescent="0.25"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8:30" x14ac:dyDescent="0.25"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8:30" x14ac:dyDescent="0.25"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8:30" x14ac:dyDescent="0.25"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8:30" x14ac:dyDescent="0.25"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8:30" x14ac:dyDescent="0.25"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8:30" x14ac:dyDescent="0.25"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8:30" x14ac:dyDescent="0.25"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8:30" x14ac:dyDescent="0.25"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8:30" x14ac:dyDescent="0.25"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8:30" x14ac:dyDescent="0.25"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8:30" x14ac:dyDescent="0.25"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8:30" x14ac:dyDescent="0.25"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8:30" x14ac:dyDescent="0.25"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8:30" x14ac:dyDescent="0.25"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8:30" x14ac:dyDescent="0.25"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8:30" x14ac:dyDescent="0.25"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8:30" x14ac:dyDescent="0.25"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8:30" x14ac:dyDescent="0.25"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8:30" x14ac:dyDescent="0.25"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8:30" x14ac:dyDescent="0.25"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8:30" x14ac:dyDescent="0.25"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8:30" x14ac:dyDescent="0.25"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8:30" x14ac:dyDescent="0.25"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8:30" x14ac:dyDescent="0.25"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8:30" x14ac:dyDescent="0.25"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8:30" x14ac:dyDescent="0.25"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8:30" x14ac:dyDescent="0.25"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8:30" x14ac:dyDescent="0.25"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8:30" x14ac:dyDescent="0.25"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8:30" x14ac:dyDescent="0.25"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8:30" x14ac:dyDescent="0.25"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8:30" x14ac:dyDescent="0.25"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8:30" x14ac:dyDescent="0.25"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8:30" x14ac:dyDescent="0.25"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8:30" x14ac:dyDescent="0.25"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8:30" x14ac:dyDescent="0.25"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8:30" x14ac:dyDescent="0.25"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8:30" x14ac:dyDescent="0.25"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8:30" x14ac:dyDescent="0.25"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8:30" x14ac:dyDescent="0.25"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8:30" x14ac:dyDescent="0.25"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8:30" x14ac:dyDescent="0.25"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8:30" x14ac:dyDescent="0.25"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8:30" x14ac:dyDescent="0.25"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8:30" x14ac:dyDescent="0.25"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8:30" x14ac:dyDescent="0.25"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8:30" x14ac:dyDescent="0.25"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8:30" x14ac:dyDescent="0.25"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8:30" x14ac:dyDescent="0.25"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8:30" x14ac:dyDescent="0.25"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8:30" x14ac:dyDescent="0.25"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8:30" x14ac:dyDescent="0.25"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8:30" x14ac:dyDescent="0.25"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8:30" x14ac:dyDescent="0.25"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8:30" x14ac:dyDescent="0.25"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8:30" x14ac:dyDescent="0.25"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8:30" x14ac:dyDescent="0.25"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8:30" x14ac:dyDescent="0.25"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8:30" x14ac:dyDescent="0.25"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8:30" x14ac:dyDescent="0.25"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8:30" x14ac:dyDescent="0.25"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8:30" x14ac:dyDescent="0.25"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8:30" x14ac:dyDescent="0.25"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8:30" x14ac:dyDescent="0.25"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8:30" x14ac:dyDescent="0.25"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8:30" x14ac:dyDescent="0.25"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8:30" x14ac:dyDescent="0.25"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8:30" x14ac:dyDescent="0.25"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8:30" x14ac:dyDescent="0.25"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8:30" x14ac:dyDescent="0.25"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8:30" x14ac:dyDescent="0.25"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8:30" x14ac:dyDescent="0.25"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8:30" x14ac:dyDescent="0.25"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8:30" x14ac:dyDescent="0.25"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8:30" x14ac:dyDescent="0.25"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8:30" x14ac:dyDescent="0.25"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8:30" x14ac:dyDescent="0.25"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8:30" x14ac:dyDescent="0.25"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8:30" x14ac:dyDescent="0.25"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8:30" x14ac:dyDescent="0.25"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8:30" x14ac:dyDescent="0.25"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8:30" x14ac:dyDescent="0.25"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8:30" x14ac:dyDescent="0.25"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8:30" x14ac:dyDescent="0.25"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8:30" x14ac:dyDescent="0.25"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8:30" x14ac:dyDescent="0.25"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8:30" x14ac:dyDescent="0.25"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8:30" x14ac:dyDescent="0.25"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8:30" x14ac:dyDescent="0.25"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8:30" x14ac:dyDescent="0.25"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8:30" x14ac:dyDescent="0.25"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8:30" x14ac:dyDescent="0.25"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8:30" x14ac:dyDescent="0.25"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8:30" x14ac:dyDescent="0.25"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8:30" x14ac:dyDescent="0.25"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8:30" x14ac:dyDescent="0.25"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8:30" x14ac:dyDescent="0.25"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8:30" x14ac:dyDescent="0.25"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8:30" x14ac:dyDescent="0.25"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8:30" x14ac:dyDescent="0.25"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8:30" x14ac:dyDescent="0.25"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8:30" x14ac:dyDescent="0.25"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8:30" x14ac:dyDescent="0.25"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8:30" x14ac:dyDescent="0.25"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8:30" x14ac:dyDescent="0.25"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8:30" x14ac:dyDescent="0.25"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8:30" x14ac:dyDescent="0.25"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8:30" x14ac:dyDescent="0.25"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8:30" x14ac:dyDescent="0.25"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8:30" x14ac:dyDescent="0.25"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8:30" x14ac:dyDescent="0.25"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8:30" x14ac:dyDescent="0.25"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8:30" x14ac:dyDescent="0.25"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8:30" x14ac:dyDescent="0.25"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8:30" x14ac:dyDescent="0.25"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8:30" x14ac:dyDescent="0.25"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8:30" x14ac:dyDescent="0.25"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8:30" x14ac:dyDescent="0.25"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8:30" x14ac:dyDescent="0.25"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8:30" x14ac:dyDescent="0.25"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8:30" x14ac:dyDescent="0.25"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8:30" x14ac:dyDescent="0.25"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8:30" x14ac:dyDescent="0.25"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8:30" x14ac:dyDescent="0.25"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8:30" x14ac:dyDescent="0.25"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8:30" x14ac:dyDescent="0.25"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8:30" x14ac:dyDescent="0.25"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8:30" x14ac:dyDescent="0.25"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8:30" x14ac:dyDescent="0.25"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8:30" x14ac:dyDescent="0.25"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8:30" x14ac:dyDescent="0.25"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8:30" x14ac:dyDescent="0.25"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8:30" x14ac:dyDescent="0.25"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8:30" x14ac:dyDescent="0.25"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8:30" x14ac:dyDescent="0.25"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8:30" x14ac:dyDescent="0.25"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8:30" x14ac:dyDescent="0.25"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8:30" x14ac:dyDescent="0.25"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8:30" x14ac:dyDescent="0.25"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8:30" x14ac:dyDescent="0.25"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8:30" x14ac:dyDescent="0.25"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8:30" x14ac:dyDescent="0.25"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8:30" x14ac:dyDescent="0.25"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8:30" x14ac:dyDescent="0.25"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8:30" x14ac:dyDescent="0.25"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8:30" x14ac:dyDescent="0.25"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8:30" x14ac:dyDescent="0.25"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8:30" x14ac:dyDescent="0.25"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8:30" x14ac:dyDescent="0.25"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8:30" x14ac:dyDescent="0.25"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8:30" x14ac:dyDescent="0.25"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8:30" x14ac:dyDescent="0.25"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8:30" x14ac:dyDescent="0.25"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8:30" x14ac:dyDescent="0.25"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8:30" x14ac:dyDescent="0.25"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8:30" x14ac:dyDescent="0.25"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8:30" x14ac:dyDescent="0.25"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8:30" x14ac:dyDescent="0.25"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8:30" x14ac:dyDescent="0.25"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8:30" x14ac:dyDescent="0.25"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8:30" x14ac:dyDescent="0.25"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8:30" x14ac:dyDescent="0.25"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8:30" x14ac:dyDescent="0.25"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8:30" x14ac:dyDescent="0.25"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8:30" x14ac:dyDescent="0.25"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8:30" x14ac:dyDescent="0.25"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8:30" x14ac:dyDescent="0.25"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8:30" x14ac:dyDescent="0.25"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8:30" x14ac:dyDescent="0.25"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8:30" x14ac:dyDescent="0.25"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8:30" x14ac:dyDescent="0.25"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8:30" x14ac:dyDescent="0.25"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8:30" x14ac:dyDescent="0.25"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8:30" x14ac:dyDescent="0.25"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8:30" x14ac:dyDescent="0.25"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8:30" x14ac:dyDescent="0.25"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8:30" x14ac:dyDescent="0.25"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8:30" x14ac:dyDescent="0.25"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8:30" x14ac:dyDescent="0.25"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8:30" x14ac:dyDescent="0.25"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8:30" x14ac:dyDescent="0.25"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8:30" x14ac:dyDescent="0.25"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8:30" x14ac:dyDescent="0.25"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8:30" x14ac:dyDescent="0.25"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8:30" x14ac:dyDescent="0.25"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8:30" x14ac:dyDescent="0.25"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8:30" x14ac:dyDescent="0.25"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8:30" x14ac:dyDescent="0.25"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8:30" x14ac:dyDescent="0.25"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8:30" x14ac:dyDescent="0.25"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8:30" x14ac:dyDescent="0.25"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8:30" x14ac:dyDescent="0.25"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8:30" x14ac:dyDescent="0.25"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8:30" x14ac:dyDescent="0.25"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8:30" x14ac:dyDescent="0.25"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8:30" x14ac:dyDescent="0.25"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8:30" x14ac:dyDescent="0.25"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8:30" x14ac:dyDescent="0.25"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8:30" x14ac:dyDescent="0.25"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8:30" x14ac:dyDescent="0.25"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8:30" x14ac:dyDescent="0.25"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8:30" x14ac:dyDescent="0.25"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8:30" x14ac:dyDescent="0.25"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8:30" x14ac:dyDescent="0.25"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8:30" x14ac:dyDescent="0.25"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8:30" x14ac:dyDescent="0.25"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8:30" x14ac:dyDescent="0.25"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8:30" x14ac:dyDescent="0.25"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8:30" x14ac:dyDescent="0.25"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8:30" x14ac:dyDescent="0.25"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8:30" x14ac:dyDescent="0.25"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8:30" x14ac:dyDescent="0.25"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8:30" x14ac:dyDescent="0.25"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8:30" x14ac:dyDescent="0.25"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8:30" x14ac:dyDescent="0.25"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8:30" x14ac:dyDescent="0.25"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8:30" x14ac:dyDescent="0.25"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8:30" x14ac:dyDescent="0.25"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8:30" x14ac:dyDescent="0.25"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8:30" x14ac:dyDescent="0.25"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8:30" x14ac:dyDescent="0.25"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8:30" x14ac:dyDescent="0.25"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8:30" x14ac:dyDescent="0.25"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8:30" x14ac:dyDescent="0.25"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8:30" x14ac:dyDescent="0.25"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8:30" x14ac:dyDescent="0.25"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8:30" x14ac:dyDescent="0.25"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8:30" x14ac:dyDescent="0.25"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8:30" x14ac:dyDescent="0.25"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8:30" x14ac:dyDescent="0.25"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8:30" x14ac:dyDescent="0.25"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8:30" x14ac:dyDescent="0.25"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8:30" x14ac:dyDescent="0.25"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8:30" x14ac:dyDescent="0.25"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8:30" x14ac:dyDescent="0.25"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8:30" x14ac:dyDescent="0.25"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8:30" x14ac:dyDescent="0.25"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8:30" x14ac:dyDescent="0.25"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8:30" x14ac:dyDescent="0.25"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8:30" x14ac:dyDescent="0.25"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8:30" x14ac:dyDescent="0.25"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8:30" x14ac:dyDescent="0.25"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8:30" x14ac:dyDescent="0.25"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8:30" x14ac:dyDescent="0.25"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8:30" x14ac:dyDescent="0.25"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8:30" x14ac:dyDescent="0.25"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8:30" x14ac:dyDescent="0.25"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8:30" x14ac:dyDescent="0.25"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8:30" x14ac:dyDescent="0.25"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8:30" x14ac:dyDescent="0.25"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8:30" x14ac:dyDescent="0.25"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8:30" x14ac:dyDescent="0.25"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8:30" x14ac:dyDescent="0.25"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8:30" x14ac:dyDescent="0.25"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8:30" x14ac:dyDescent="0.25"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8:30" x14ac:dyDescent="0.25"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8:30" x14ac:dyDescent="0.25"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8:30" x14ac:dyDescent="0.25"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8:30" x14ac:dyDescent="0.25"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8:30" x14ac:dyDescent="0.25"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8:30" x14ac:dyDescent="0.25"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8:30" x14ac:dyDescent="0.25"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8:30" x14ac:dyDescent="0.25"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8:30" x14ac:dyDescent="0.25"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8:30" x14ac:dyDescent="0.25"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8:30" x14ac:dyDescent="0.25"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8:30" x14ac:dyDescent="0.25"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8:30" x14ac:dyDescent="0.25"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8:30" x14ac:dyDescent="0.25"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8:30" x14ac:dyDescent="0.25"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8:30" x14ac:dyDescent="0.25"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8:30" x14ac:dyDescent="0.25"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8:30" x14ac:dyDescent="0.25"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8:30" x14ac:dyDescent="0.25"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8:30" x14ac:dyDescent="0.25"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8:30" x14ac:dyDescent="0.25"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8:30" x14ac:dyDescent="0.25"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8:30" x14ac:dyDescent="0.25"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8:30" x14ac:dyDescent="0.25"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8:30" x14ac:dyDescent="0.25"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8:30" x14ac:dyDescent="0.25"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8:30" x14ac:dyDescent="0.25"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8:30" x14ac:dyDescent="0.25"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8:30" x14ac:dyDescent="0.25"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8:30" x14ac:dyDescent="0.25"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8:30" x14ac:dyDescent="0.25"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8:30" x14ac:dyDescent="0.25"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8:30" x14ac:dyDescent="0.25"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8:30" x14ac:dyDescent="0.25"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8:30" x14ac:dyDescent="0.25"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8:30" x14ac:dyDescent="0.25"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8:30" x14ac:dyDescent="0.25"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8:30" x14ac:dyDescent="0.25"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8:30" x14ac:dyDescent="0.25"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8:30" x14ac:dyDescent="0.25"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8:30" x14ac:dyDescent="0.25"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8:30" x14ac:dyDescent="0.25"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8:30" x14ac:dyDescent="0.25"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8:30" x14ac:dyDescent="0.25"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8:30" x14ac:dyDescent="0.25"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8:30" x14ac:dyDescent="0.25"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8:30" x14ac:dyDescent="0.25"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8:30" x14ac:dyDescent="0.25"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8:30" x14ac:dyDescent="0.25"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8:30" x14ac:dyDescent="0.25"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8:30" x14ac:dyDescent="0.25"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8:30" x14ac:dyDescent="0.25"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8:30" x14ac:dyDescent="0.25"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8:30" x14ac:dyDescent="0.25"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8:30" x14ac:dyDescent="0.25"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8:30" x14ac:dyDescent="0.25"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8:30" x14ac:dyDescent="0.25"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8:30" x14ac:dyDescent="0.25"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8:30" x14ac:dyDescent="0.25"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8:30" x14ac:dyDescent="0.25"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8:30" x14ac:dyDescent="0.25"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8:30" x14ac:dyDescent="0.25"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8:30" x14ac:dyDescent="0.25"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8:30" x14ac:dyDescent="0.25"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8:30" x14ac:dyDescent="0.25"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8:30" x14ac:dyDescent="0.25"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8:30" x14ac:dyDescent="0.25"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8:30" x14ac:dyDescent="0.25"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8:30" x14ac:dyDescent="0.25"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8:30" x14ac:dyDescent="0.25"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8:30" x14ac:dyDescent="0.25"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8:30" x14ac:dyDescent="0.25"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8:30" x14ac:dyDescent="0.25"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8:30" x14ac:dyDescent="0.25"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8:30" x14ac:dyDescent="0.25"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8:30" x14ac:dyDescent="0.25"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8:30" x14ac:dyDescent="0.25"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8:30" x14ac:dyDescent="0.25"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8:30" x14ac:dyDescent="0.25"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8:30" x14ac:dyDescent="0.25"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8:30" x14ac:dyDescent="0.25"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8:30" x14ac:dyDescent="0.25"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8:30" x14ac:dyDescent="0.25"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8:30" x14ac:dyDescent="0.25"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8:30" x14ac:dyDescent="0.25"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8:30" x14ac:dyDescent="0.25"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8:30" x14ac:dyDescent="0.25"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8:30" x14ac:dyDescent="0.25"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8:30" x14ac:dyDescent="0.25"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8:30" x14ac:dyDescent="0.25"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8:30" x14ac:dyDescent="0.25"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8:30" x14ac:dyDescent="0.25"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8:30" x14ac:dyDescent="0.25"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8:30" x14ac:dyDescent="0.25"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8:30" x14ac:dyDescent="0.25"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8:30" x14ac:dyDescent="0.25"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8:30" x14ac:dyDescent="0.25"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8:30" x14ac:dyDescent="0.25"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8:30" x14ac:dyDescent="0.25"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8:30" x14ac:dyDescent="0.25"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8:30" x14ac:dyDescent="0.25"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8:30" x14ac:dyDescent="0.25"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8:30" x14ac:dyDescent="0.25"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8:30" x14ac:dyDescent="0.25"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8:30" x14ac:dyDescent="0.25"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8:30" x14ac:dyDescent="0.25"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8:30" x14ac:dyDescent="0.25"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8:30" x14ac:dyDescent="0.25"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8:30" x14ac:dyDescent="0.25"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8:30" x14ac:dyDescent="0.25"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8:30" x14ac:dyDescent="0.25"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8:30" x14ac:dyDescent="0.25"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8:30" x14ac:dyDescent="0.25"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8:30" x14ac:dyDescent="0.25"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8:30" x14ac:dyDescent="0.25"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8:30" x14ac:dyDescent="0.25"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8:30" x14ac:dyDescent="0.25"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8:30" x14ac:dyDescent="0.25"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8:30" x14ac:dyDescent="0.25"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8:30" x14ac:dyDescent="0.25"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8:30" x14ac:dyDescent="0.25"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8:30" x14ac:dyDescent="0.25"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8:30" x14ac:dyDescent="0.25"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8:30" x14ac:dyDescent="0.25"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8:30" x14ac:dyDescent="0.25"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8:30" x14ac:dyDescent="0.25"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8:30" x14ac:dyDescent="0.25"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8:30" x14ac:dyDescent="0.25"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8:30" x14ac:dyDescent="0.25"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8:30" x14ac:dyDescent="0.25"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8:30" x14ac:dyDescent="0.25"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8:30" x14ac:dyDescent="0.25"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8:30" x14ac:dyDescent="0.25"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8:30" x14ac:dyDescent="0.25"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8:30" x14ac:dyDescent="0.25"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8:30" x14ac:dyDescent="0.25"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8:30" x14ac:dyDescent="0.25"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8:30" x14ac:dyDescent="0.25"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8:30" x14ac:dyDescent="0.25"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8:30" x14ac:dyDescent="0.25"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8:30" x14ac:dyDescent="0.25"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8:30" x14ac:dyDescent="0.25"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8:30" x14ac:dyDescent="0.25"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8:30" x14ac:dyDescent="0.25"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8:30" x14ac:dyDescent="0.25"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8:30" x14ac:dyDescent="0.25"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8:30" x14ac:dyDescent="0.25"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8:30" x14ac:dyDescent="0.25"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8:30" x14ac:dyDescent="0.25"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8:30" x14ac:dyDescent="0.25"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8:30" x14ac:dyDescent="0.25"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8:30" x14ac:dyDescent="0.25"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8:30" x14ac:dyDescent="0.25"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8:30" x14ac:dyDescent="0.25"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8:30" x14ac:dyDescent="0.25"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8:30" x14ac:dyDescent="0.25"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8:30" x14ac:dyDescent="0.25"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8:30" x14ac:dyDescent="0.25"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8:30" x14ac:dyDescent="0.25"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8:30" x14ac:dyDescent="0.25"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8:30" x14ac:dyDescent="0.25"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8:30" x14ac:dyDescent="0.25"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8:30" x14ac:dyDescent="0.25"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8:30" x14ac:dyDescent="0.25"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8:30" x14ac:dyDescent="0.25"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8:30" x14ac:dyDescent="0.25"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8:30" x14ac:dyDescent="0.25"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8:30" x14ac:dyDescent="0.25"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8:30" x14ac:dyDescent="0.25"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8:30" x14ac:dyDescent="0.25"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8:30" x14ac:dyDescent="0.25"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8:30" x14ac:dyDescent="0.25"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8:30" x14ac:dyDescent="0.25"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8:30" x14ac:dyDescent="0.25"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8:30" x14ac:dyDescent="0.25"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8:30" x14ac:dyDescent="0.25"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8:30" x14ac:dyDescent="0.25"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8:30" x14ac:dyDescent="0.25"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8:30" x14ac:dyDescent="0.25"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8:30" x14ac:dyDescent="0.25"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8:30" x14ac:dyDescent="0.25"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8:30" x14ac:dyDescent="0.25"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8:30" x14ac:dyDescent="0.25"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8:30" x14ac:dyDescent="0.25"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8:30" x14ac:dyDescent="0.25"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8:30" x14ac:dyDescent="0.25"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8:30" x14ac:dyDescent="0.25"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8:30" x14ac:dyDescent="0.25"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8:30" x14ac:dyDescent="0.25"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8:30" x14ac:dyDescent="0.25"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8:30" x14ac:dyDescent="0.25"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8:30" x14ac:dyDescent="0.25"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8:30" x14ac:dyDescent="0.25"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8:30" x14ac:dyDescent="0.25"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8:30" x14ac:dyDescent="0.25"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8:30" x14ac:dyDescent="0.25"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8:30" x14ac:dyDescent="0.25"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8:30" x14ac:dyDescent="0.25"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8:30" x14ac:dyDescent="0.25"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8:30" x14ac:dyDescent="0.25"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8:30" x14ac:dyDescent="0.25"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8:30" x14ac:dyDescent="0.25"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8:30" x14ac:dyDescent="0.25"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8:30" x14ac:dyDescent="0.25"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8:30" x14ac:dyDescent="0.25"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8:30" x14ac:dyDescent="0.25"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8:30" x14ac:dyDescent="0.25"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8:30" x14ac:dyDescent="0.25"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8:30" x14ac:dyDescent="0.25"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8:30" x14ac:dyDescent="0.25"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8:30" x14ac:dyDescent="0.25"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8:30" x14ac:dyDescent="0.25"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8:30" x14ac:dyDescent="0.25"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8:30" x14ac:dyDescent="0.25"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8:30" x14ac:dyDescent="0.25"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8:30" x14ac:dyDescent="0.25"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8:30" x14ac:dyDescent="0.25"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8:30" x14ac:dyDescent="0.25"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8:30" x14ac:dyDescent="0.25"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8:30" x14ac:dyDescent="0.25"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8:30" x14ac:dyDescent="0.25"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8:30" x14ac:dyDescent="0.25"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8:30" x14ac:dyDescent="0.25"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8:30" x14ac:dyDescent="0.25"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8:30" x14ac:dyDescent="0.25"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8:30" x14ac:dyDescent="0.25"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8:30" x14ac:dyDescent="0.25"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8:30" x14ac:dyDescent="0.25"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8:30" x14ac:dyDescent="0.25"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8:30" x14ac:dyDescent="0.25"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8:30" x14ac:dyDescent="0.25"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8:30" x14ac:dyDescent="0.25"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8:30" x14ac:dyDescent="0.25"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8:30" x14ac:dyDescent="0.25"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8:30" x14ac:dyDescent="0.25"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8:30" x14ac:dyDescent="0.25"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8:30" x14ac:dyDescent="0.25"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8:30" x14ac:dyDescent="0.25"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8:30" x14ac:dyDescent="0.25"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8:30" x14ac:dyDescent="0.25"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8:30" x14ac:dyDescent="0.25"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8:30" x14ac:dyDescent="0.25"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8:30" x14ac:dyDescent="0.25"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8:30" x14ac:dyDescent="0.25"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8:30" x14ac:dyDescent="0.25"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8:30" x14ac:dyDescent="0.25"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8:30" x14ac:dyDescent="0.25"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8:30" x14ac:dyDescent="0.25"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8:30" x14ac:dyDescent="0.25"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8:30" x14ac:dyDescent="0.25"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8:30" x14ac:dyDescent="0.25"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8:30" x14ac:dyDescent="0.25"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8:30" x14ac:dyDescent="0.25"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8:30" x14ac:dyDescent="0.25"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8:30" x14ac:dyDescent="0.25"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8:30" x14ac:dyDescent="0.25"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8:30" x14ac:dyDescent="0.25"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8:30" x14ac:dyDescent="0.25"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8:30" x14ac:dyDescent="0.25"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8:30" x14ac:dyDescent="0.25"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8:30" x14ac:dyDescent="0.25"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8:30" x14ac:dyDescent="0.25"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8:30" x14ac:dyDescent="0.25"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8:30" x14ac:dyDescent="0.25"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8:30" x14ac:dyDescent="0.25"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8:30" x14ac:dyDescent="0.25"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8:30" x14ac:dyDescent="0.25"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8:30" x14ac:dyDescent="0.25"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8:30" x14ac:dyDescent="0.25"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8:30" x14ac:dyDescent="0.25"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8:30" x14ac:dyDescent="0.25"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8:30" x14ac:dyDescent="0.25"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8:30" x14ac:dyDescent="0.25"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8:30" x14ac:dyDescent="0.25"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8:30" x14ac:dyDescent="0.25"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8:30" x14ac:dyDescent="0.25"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8:30" x14ac:dyDescent="0.25"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8:30" x14ac:dyDescent="0.25"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8:30" x14ac:dyDescent="0.25"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8:30" x14ac:dyDescent="0.25"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8:30" x14ac:dyDescent="0.25"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8:30" x14ac:dyDescent="0.25"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8:30" x14ac:dyDescent="0.25"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8:30" x14ac:dyDescent="0.25"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8:30" x14ac:dyDescent="0.25"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8:30" x14ac:dyDescent="0.25"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8:30" x14ac:dyDescent="0.25"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8:30" x14ac:dyDescent="0.25"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8:30" x14ac:dyDescent="0.25"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8:30" x14ac:dyDescent="0.25"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8:30" x14ac:dyDescent="0.25"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8:30" x14ac:dyDescent="0.25"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8:30" x14ac:dyDescent="0.25"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8:30" x14ac:dyDescent="0.25"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8:30" x14ac:dyDescent="0.25"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8:30" x14ac:dyDescent="0.25"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8:30" x14ac:dyDescent="0.25"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8:30" x14ac:dyDescent="0.25"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8:30" x14ac:dyDescent="0.25"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8:30" x14ac:dyDescent="0.25"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8:30" x14ac:dyDescent="0.25"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8:30" x14ac:dyDescent="0.25"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8:30" x14ac:dyDescent="0.25"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8:30" x14ac:dyDescent="0.25"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8:30" x14ac:dyDescent="0.25"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8:30" x14ac:dyDescent="0.25"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8:30" x14ac:dyDescent="0.25"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8:30" x14ac:dyDescent="0.25"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8:30" x14ac:dyDescent="0.25"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8:30" x14ac:dyDescent="0.25"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8:30" x14ac:dyDescent="0.25"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8:30" x14ac:dyDescent="0.25"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8:30" x14ac:dyDescent="0.25"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8:30" x14ac:dyDescent="0.25"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8:30" x14ac:dyDescent="0.25"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8:30" x14ac:dyDescent="0.25"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8:30" x14ac:dyDescent="0.25"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8:30" x14ac:dyDescent="0.25"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8:30" x14ac:dyDescent="0.25"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8:30" x14ac:dyDescent="0.25"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8:30" x14ac:dyDescent="0.25"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8:30" x14ac:dyDescent="0.25"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8:30" x14ac:dyDescent="0.25"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8:30" x14ac:dyDescent="0.25"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8:30" x14ac:dyDescent="0.25"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8:30" x14ac:dyDescent="0.25"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8:30" x14ac:dyDescent="0.25"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8:30" x14ac:dyDescent="0.25"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8:30" x14ac:dyDescent="0.25"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8:30" x14ac:dyDescent="0.25"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8:30" x14ac:dyDescent="0.25"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8:30" x14ac:dyDescent="0.25"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8:30" x14ac:dyDescent="0.25"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8:30" x14ac:dyDescent="0.25"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8:30" x14ac:dyDescent="0.25"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8:30" x14ac:dyDescent="0.25"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8:30" x14ac:dyDescent="0.25"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8:30" x14ac:dyDescent="0.25"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8:30" x14ac:dyDescent="0.25"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8:30" x14ac:dyDescent="0.25"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8:30" x14ac:dyDescent="0.25"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8:30" x14ac:dyDescent="0.25"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8:30" x14ac:dyDescent="0.25"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8:30" x14ac:dyDescent="0.25"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8:30" x14ac:dyDescent="0.25"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8:30" x14ac:dyDescent="0.25"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8:30" x14ac:dyDescent="0.25"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8:30" x14ac:dyDescent="0.25"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8:30" x14ac:dyDescent="0.25"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8:30" x14ac:dyDescent="0.25"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8:30" x14ac:dyDescent="0.25"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8:30" x14ac:dyDescent="0.25"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8:30" x14ac:dyDescent="0.25"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8:30" x14ac:dyDescent="0.25"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8:30" x14ac:dyDescent="0.25"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8:30" x14ac:dyDescent="0.25"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8:30" x14ac:dyDescent="0.25"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8:30" x14ac:dyDescent="0.25"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8:30" x14ac:dyDescent="0.25"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8:30" x14ac:dyDescent="0.25"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8:30" x14ac:dyDescent="0.25"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8:30" x14ac:dyDescent="0.25"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8:30" x14ac:dyDescent="0.25"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8:30" x14ac:dyDescent="0.25"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8:30" x14ac:dyDescent="0.25"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8:30" x14ac:dyDescent="0.25"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8:30" x14ac:dyDescent="0.25"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8:30" x14ac:dyDescent="0.25"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8:30" x14ac:dyDescent="0.25"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8:30" x14ac:dyDescent="0.25"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8:30" x14ac:dyDescent="0.25"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8:30" x14ac:dyDescent="0.25"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8:30" x14ac:dyDescent="0.25"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8:30" x14ac:dyDescent="0.25"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8:30" x14ac:dyDescent="0.25"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8:30" x14ac:dyDescent="0.25"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8:30" x14ac:dyDescent="0.25"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8:30" x14ac:dyDescent="0.25"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8:30" x14ac:dyDescent="0.25"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8:30" x14ac:dyDescent="0.25"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8:30" x14ac:dyDescent="0.25"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8:30" x14ac:dyDescent="0.25"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8:30" x14ac:dyDescent="0.25"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8:30" x14ac:dyDescent="0.25"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8:30" x14ac:dyDescent="0.25"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8:30" x14ac:dyDescent="0.25"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8:30" x14ac:dyDescent="0.25"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8:30" x14ac:dyDescent="0.25"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8:30" x14ac:dyDescent="0.25"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8:30" x14ac:dyDescent="0.25"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8:30" x14ac:dyDescent="0.25"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8:30" x14ac:dyDescent="0.25"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8:30" x14ac:dyDescent="0.25"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8:30" x14ac:dyDescent="0.25"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8:30" x14ac:dyDescent="0.25"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8:30" x14ac:dyDescent="0.25"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8:30" x14ac:dyDescent="0.25"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8:30" x14ac:dyDescent="0.25"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8:30" x14ac:dyDescent="0.25"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8:30" x14ac:dyDescent="0.25"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8:30" x14ac:dyDescent="0.25"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8:30" x14ac:dyDescent="0.25"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8:30" x14ac:dyDescent="0.25"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8:30" x14ac:dyDescent="0.25"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8:30" x14ac:dyDescent="0.25"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8:30" x14ac:dyDescent="0.25"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8:30" x14ac:dyDescent="0.25"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8:30" x14ac:dyDescent="0.25"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8:30" x14ac:dyDescent="0.25"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8:30" x14ac:dyDescent="0.25"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8:30" x14ac:dyDescent="0.25"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8:30" x14ac:dyDescent="0.25"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8:30" x14ac:dyDescent="0.25"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8:30" x14ac:dyDescent="0.25"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8:30" x14ac:dyDescent="0.25"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8:30" x14ac:dyDescent="0.25"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8:30" x14ac:dyDescent="0.25"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8:30" x14ac:dyDescent="0.25"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8:30" x14ac:dyDescent="0.25"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8:30" x14ac:dyDescent="0.25"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8:30" x14ac:dyDescent="0.25"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8:30" x14ac:dyDescent="0.25"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8:30" x14ac:dyDescent="0.25"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8:30" x14ac:dyDescent="0.25"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8:30" x14ac:dyDescent="0.25"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8:30" x14ac:dyDescent="0.25"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8:30" x14ac:dyDescent="0.25"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8:30" x14ac:dyDescent="0.25"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8:30" x14ac:dyDescent="0.25"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8:30" x14ac:dyDescent="0.25"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8:30" x14ac:dyDescent="0.25"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8:30" x14ac:dyDescent="0.25"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8:30" x14ac:dyDescent="0.25"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8:30" x14ac:dyDescent="0.25"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8:30" x14ac:dyDescent="0.25"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8:30" x14ac:dyDescent="0.25"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8:30" x14ac:dyDescent="0.25"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8:30" x14ac:dyDescent="0.25"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8:30" x14ac:dyDescent="0.25"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8:30" x14ac:dyDescent="0.25"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8:30" x14ac:dyDescent="0.25"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8:30" x14ac:dyDescent="0.25"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8:30" x14ac:dyDescent="0.25"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8:30" x14ac:dyDescent="0.25"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8:30" x14ac:dyDescent="0.25"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8:30" x14ac:dyDescent="0.25"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8:30" x14ac:dyDescent="0.25"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8:30" x14ac:dyDescent="0.25"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8:30" x14ac:dyDescent="0.25"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8:30" x14ac:dyDescent="0.25"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8:30" x14ac:dyDescent="0.25"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8:30" x14ac:dyDescent="0.25"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8:30" x14ac:dyDescent="0.25"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8:30" x14ac:dyDescent="0.25"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8:30" x14ac:dyDescent="0.25"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8:30" x14ac:dyDescent="0.25"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8:30" x14ac:dyDescent="0.25"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8:30" x14ac:dyDescent="0.25"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8:30" x14ac:dyDescent="0.25"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8:30" x14ac:dyDescent="0.25"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8:30" x14ac:dyDescent="0.25"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8:30" x14ac:dyDescent="0.25"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8:30" x14ac:dyDescent="0.25"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8:30" x14ac:dyDescent="0.25"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8:30" x14ac:dyDescent="0.25"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8:30" x14ac:dyDescent="0.25"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8:30" x14ac:dyDescent="0.25"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8:30" x14ac:dyDescent="0.25"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8:30" x14ac:dyDescent="0.25"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8:30" x14ac:dyDescent="0.25"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8:30" x14ac:dyDescent="0.25"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8:30" x14ac:dyDescent="0.25"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8:30" x14ac:dyDescent="0.25"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8:30" x14ac:dyDescent="0.25"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8:30" x14ac:dyDescent="0.25"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8:30" x14ac:dyDescent="0.25"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8:30" x14ac:dyDescent="0.25"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8:30" x14ac:dyDescent="0.25"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8:30" x14ac:dyDescent="0.25"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8:30" x14ac:dyDescent="0.25"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8:30" x14ac:dyDescent="0.25"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8:30" x14ac:dyDescent="0.25"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8:30" x14ac:dyDescent="0.25"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8:30" x14ac:dyDescent="0.25"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8:30" x14ac:dyDescent="0.25"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8:30" x14ac:dyDescent="0.25"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8:30" x14ac:dyDescent="0.25"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8:30" x14ac:dyDescent="0.25"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8:30" x14ac:dyDescent="0.25"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8:30" x14ac:dyDescent="0.25"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8:30" x14ac:dyDescent="0.25"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8:30" x14ac:dyDescent="0.25"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8:30" x14ac:dyDescent="0.25"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8:30" x14ac:dyDescent="0.25"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8:30" x14ac:dyDescent="0.25"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8:30" x14ac:dyDescent="0.25"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8:30" x14ac:dyDescent="0.25"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8:30" x14ac:dyDescent="0.25"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8:30" x14ac:dyDescent="0.25"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8:30" x14ac:dyDescent="0.25"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8:30" x14ac:dyDescent="0.25"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8:30" x14ac:dyDescent="0.25"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8:30" x14ac:dyDescent="0.25"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8:30" x14ac:dyDescent="0.25"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8:30" x14ac:dyDescent="0.25"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8:30" x14ac:dyDescent="0.25"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8:30" x14ac:dyDescent="0.25"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8:30" x14ac:dyDescent="0.25"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8:30" x14ac:dyDescent="0.25"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8:30" x14ac:dyDescent="0.25"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8:30" x14ac:dyDescent="0.25"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8:30" x14ac:dyDescent="0.25"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8:30" x14ac:dyDescent="0.25"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8:30" x14ac:dyDescent="0.25"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8:30" x14ac:dyDescent="0.25"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8:30" x14ac:dyDescent="0.25"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8:30" x14ac:dyDescent="0.25"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8:30" x14ac:dyDescent="0.25"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8:30" x14ac:dyDescent="0.25"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8:30" x14ac:dyDescent="0.25"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8:30" x14ac:dyDescent="0.25"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8:30" x14ac:dyDescent="0.25"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8:30" x14ac:dyDescent="0.25"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8:30" x14ac:dyDescent="0.25"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8:30" x14ac:dyDescent="0.25"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8:30" x14ac:dyDescent="0.25"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8:30" x14ac:dyDescent="0.25"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8:30" x14ac:dyDescent="0.25"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8:30" x14ac:dyDescent="0.25"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8:30" x14ac:dyDescent="0.25"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8:30" x14ac:dyDescent="0.25"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8:30" x14ac:dyDescent="0.25"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8:30" x14ac:dyDescent="0.25"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8:30" x14ac:dyDescent="0.25"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8:30" x14ac:dyDescent="0.25"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8:30" x14ac:dyDescent="0.25"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8:30" x14ac:dyDescent="0.25"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8:30" x14ac:dyDescent="0.25"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8:30" x14ac:dyDescent="0.25"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8:30" x14ac:dyDescent="0.25"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8:30" x14ac:dyDescent="0.25"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8:30" x14ac:dyDescent="0.25"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8:30" x14ac:dyDescent="0.25"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8:30" x14ac:dyDescent="0.25"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8:30" x14ac:dyDescent="0.25"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8:30" x14ac:dyDescent="0.25"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8:30" x14ac:dyDescent="0.25"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8:30" x14ac:dyDescent="0.25"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8:30" x14ac:dyDescent="0.25"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8:30" x14ac:dyDescent="0.25"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8:30" x14ac:dyDescent="0.25"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8:30" x14ac:dyDescent="0.25"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8:30" x14ac:dyDescent="0.25"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8:30" x14ac:dyDescent="0.25"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8:30" x14ac:dyDescent="0.25"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8:30" x14ac:dyDescent="0.25"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8:30" x14ac:dyDescent="0.25"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8:30" x14ac:dyDescent="0.25"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8:30" x14ac:dyDescent="0.25"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8:30" x14ac:dyDescent="0.25"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8:30" x14ac:dyDescent="0.25"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8:30" x14ac:dyDescent="0.25"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8:30" x14ac:dyDescent="0.25"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8:30" x14ac:dyDescent="0.25"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8:30" x14ac:dyDescent="0.25"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8:30" x14ac:dyDescent="0.25"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8:30" x14ac:dyDescent="0.25"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8:30" x14ac:dyDescent="0.25"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8:30" x14ac:dyDescent="0.25"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8:30" x14ac:dyDescent="0.25"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8:30" x14ac:dyDescent="0.25"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8:30" x14ac:dyDescent="0.25"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8:30" x14ac:dyDescent="0.25"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8:30" x14ac:dyDescent="0.25"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8:30" x14ac:dyDescent="0.25"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8:30" x14ac:dyDescent="0.25"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8:30" x14ac:dyDescent="0.25"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8:30" x14ac:dyDescent="0.25"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8:30" x14ac:dyDescent="0.25"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8:30" x14ac:dyDescent="0.25"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8:30" x14ac:dyDescent="0.25"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8:30" x14ac:dyDescent="0.25"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8:30" x14ac:dyDescent="0.25"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8:30" x14ac:dyDescent="0.25"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8:30" x14ac:dyDescent="0.25"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8:30" x14ac:dyDescent="0.25"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8:30" x14ac:dyDescent="0.25"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8:30" x14ac:dyDescent="0.25"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8:30" x14ac:dyDescent="0.25"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8:30" x14ac:dyDescent="0.25"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8:30" x14ac:dyDescent="0.25"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8:30" x14ac:dyDescent="0.25"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8:30" x14ac:dyDescent="0.25"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8:30" x14ac:dyDescent="0.25"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8:30" x14ac:dyDescent="0.25"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8:30" x14ac:dyDescent="0.25"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8:30" x14ac:dyDescent="0.25"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8:30" x14ac:dyDescent="0.25"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8:30" x14ac:dyDescent="0.25"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8:30" x14ac:dyDescent="0.25"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8:30" x14ac:dyDescent="0.25"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8:30" x14ac:dyDescent="0.25"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8:30" x14ac:dyDescent="0.25"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8:30" x14ac:dyDescent="0.25"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8:30" x14ac:dyDescent="0.25"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8:30" x14ac:dyDescent="0.25"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8:30" x14ac:dyDescent="0.25"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8:30" x14ac:dyDescent="0.25"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8:30" x14ac:dyDescent="0.25"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8:30" x14ac:dyDescent="0.25"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8:30" x14ac:dyDescent="0.25"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8:30" x14ac:dyDescent="0.25"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8:30" x14ac:dyDescent="0.25"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8:30" x14ac:dyDescent="0.25"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8:30" x14ac:dyDescent="0.25"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8:30" x14ac:dyDescent="0.25"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8:30" x14ac:dyDescent="0.25"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8:30" x14ac:dyDescent="0.25"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8:30" x14ac:dyDescent="0.25"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8:30" x14ac:dyDescent="0.25"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8:30" x14ac:dyDescent="0.25"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8:30" x14ac:dyDescent="0.25"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8:30" x14ac:dyDescent="0.25"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8:30" x14ac:dyDescent="0.25"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8:30" x14ac:dyDescent="0.25"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8:30" x14ac:dyDescent="0.25"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8:30" x14ac:dyDescent="0.25"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8:30" x14ac:dyDescent="0.25"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8:30" x14ac:dyDescent="0.25"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8:30" x14ac:dyDescent="0.25"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8:30" x14ac:dyDescent="0.25"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8:30" x14ac:dyDescent="0.25"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8:30" x14ac:dyDescent="0.25"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8:30" x14ac:dyDescent="0.25"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8:30" x14ac:dyDescent="0.25"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8:30" x14ac:dyDescent="0.25"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8:30" x14ac:dyDescent="0.25"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8:30" x14ac:dyDescent="0.25"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8:30" x14ac:dyDescent="0.25"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8:30" x14ac:dyDescent="0.25"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8:30" x14ac:dyDescent="0.25"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8:30" x14ac:dyDescent="0.25"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8:30" x14ac:dyDescent="0.25"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8:30" x14ac:dyDescent="0.25"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8:30" x14ac:dyDescent="0.25"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8:30" x14ac:dyDescent="0.25"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8:30" x14ac:dyDescent="0.25"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8:30" x14ac:dyDescent="0.25"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8:30" x14ac:dyDescent="0.25"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8:30" x14ac:dyDescent="0.25"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8:30" x14ac:dyDescent="0.25"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8:30" x14ac:dyDescent="0.25"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8:30" x14ac:dyDescent="0.25"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8:30" x14ac:dyDescent="0.25"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8:30" x14ac:dyDescent="0.25"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8:30" x14ac:dyDescent="0.25"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8:30" x14ac:dyDescent="0.25"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8:30" x14ac:dyDescent="0.25"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8:30" x14ac:dyDescent="0.25"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8:30" x14ac:dyDescent="0.25"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8:30" x14ac:dyDescent="0.25"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8:30" x14ac:dyDescent="0.25"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8:30" x14ac:dyDescent="0.25"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8:30" x14ac:dyDescent="0.25"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8:30" x14ac:dyDescent="0.25"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8:30" x14ac:dyDescent="0.25"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8:30" x14ac:dyDescent="0.25"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8:30" x14ac:dyDescent="0.25"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8:30" x14ac:dyDescent="0.25"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8:30" x14ac:dyDescent="0.25"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8:30" x14ac:dyDescent="0.25"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8:30" x14ac:dyDescent="0.25"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8:30" x14ac:dyDescent="0.25"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8:30" x14ac:dyDescent="0.25"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8:30" x14ac:dyDescent="0.25"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8:30" x14ac:dyDescent="0.25"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8:30" x14ac:dyDescent="0.25"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8:30" x14ac:dyDescent="0.25"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8:30" x14ac:dyDescent="0.25"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8:30" x14ac:dyDescent="0.25"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8:30" x14ac:dyDescent="0.25"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8:30" x14ac:dyDescent="0.25"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8:30" x14ac:dyDescent="0.25"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8:30" x14ac:dyDescent="0.25"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8:30" x14ac:dyDescent="0.25"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8:30" x14ac:dyDescent="0.25"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8:30" x14ac:dyDescent="0.25"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8:30" x14ac:dyDescent="0.25"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8:30" x14ac:dyDescent="0.25"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8:30" x14ac:dyDescent="0.25"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8:30" x14ac:dyDescent="0.25"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8:30" x14ac:dyDescent="0.25"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8:30" x14ac:dyDescent="0.25"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8:30" x14ac:dyDescent="0.25"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8:30" x14ac:dyDescent="0.25"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8:30" x14ac:dyDescent="0.25"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8:30" x14ac:dyDescent="0.25"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8:30" x14ac:dyDescent="0.25"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8:30" x14ac:dyDescent="0.25"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8:30" x14ac:dyDescent="0.25"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8:30" x14ac:dyDescent="0.25"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8:30" x14ac:dyDescent="0.25"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8:30" x14ac:dyDescent="0.25"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8:30" x14ac:dyDescent="0.25"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8:30" x14ac:dyDescent="0.25"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8:30" x14ac:dyDescent="0.25"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8:30" x14ac:dyDescent="0.25"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8:30" x14ac:dyDescent="0.25"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8:30" x14ac:dyDescent="0.25"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8:30" x14ac:dyDescent="0.25"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8:30" x14ac:dyDescent="0.25"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8:30" x14ac:dyDescent="0.25"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8:30" x14ac:dyDescent="0.25"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8:30" x14ac:dyDescent="0.25"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8:30" x14ac:dyDescent="0.25"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8:30" x14ac:dyDescent="0.25"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8:30" x14ac:dyDescent="0.25"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8:30" x14ac:dyDescent="0.25"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8:30" x14ac:dyDescent="0.25"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8:30" x14ac:dyDescent="0.25"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8:30" x14ac:dyDescent="0.25"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8:30" x14ac:dyDescent="0.25"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8:30" x14ac:dyDescent="0.25"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8:30" x14ac:dyDescent="0.25"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8:30" x14ac:dyDescent="0.25"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8:30" x14ac:dyDescent="0.25"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8:30" x14ac:dyDescent="0.25"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8:30" x14ac:dyDescent="0.25"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8:30" x14ac:dyDescent="0.25"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8:30" x14ac:dyDescent="0.25"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8:30" x14ac:dyDescent="0.25"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8:30" x14ac:dyDescent="0.25"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8:30" x14ac:dyDescent="0.25"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8:30" x14ac:dyDescent="0.25"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8:30" x14ac:dyDescent="0.25"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8:30" x14ac:dyDescent="0.25"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8:30" x14ac:dyDescent="0.25"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8:30" x14ac:dyDescent="0.25"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8:30" x14ac:dyDescent="0.25"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8:30" x14ac:dyDescent="0.25"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8:30" x14ac:dyDescent="0.25"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8:30" x14ac:dyDescent="0.25"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8:30" x14ac:dyDescent="0.25"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8:30" x14ac:dyDescent="0.25"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8:30" x14ac:dyDescent="0.25"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8:30" x14ac:dyDescent="0.25"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8:30" x14ac:dyDescent="0.25"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8:30" x14ac:dyDescent="0.25"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8:30" x14ac:dyDescent="0.25"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8:30" x14ac:dyDescent="0.25"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8:30" x14ac:dyDescent="0.25"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8:30" x14ac:dyDescent="0.25"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8:30" x14ac:dyDescent="0.25"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8:30" x14ac:dyDescent="0.25"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8:30" x14ac:dyDescent="0.25"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8:30" x14ac:dyDescent="0.25"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8:30" x14ac:dyDescent="0.25"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8:30" x14ac:dyDescent="0.25"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8:30" x14ac:dyDescent="0.25"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8:30" x14ac:dyDescent="0.25"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8:30" x14ac:dyDescent="0.25"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8:30" x14ac:dyDescent="0.25"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8:30" x14ac:dyDescent="0.25"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8:30" x14ac:dyDescent="0.25"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8:30" x14ac:dyDescent="0.25"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8:30" x14ac:dyDescent="0.25"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8:30" x14ac:dyDescent="0.25"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8:30" x14ac:dyDescent="0.25"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8:30" x14ac:dyDescent="0.25"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8:30" x14ac:dyDescent="0.25"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8:30" x14ac:dyDescent="0.25"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8:30" x14ac:dyDescent="0.25"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8:30" x14ac:dyDescent="0.25"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8:30" x14ac:dyDescent="0.25"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8:30" x14ac:dyDescent="0.25"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8:30" x14ac:dyDescent="0.25"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8:30" x14ac:dyDescent="0.25"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8:30" x14ac:dyDescent="0.25"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8:30" x14ac:dyDescent="0.25"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8:30" x14ac:dyDescent="0.25"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8:30" x14ac:dyDescent="0.25"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8:30" x14ac:dyDescent="0.25"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8:30" x14ac:dyDescent="0.25"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8:30" x14ac:dyDescent="0.25"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8:30" x14ac:dyDescent="0.25"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8:30" x14ac:dyDescent="0.25"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8:30" x14ac:dyDescent="0.25"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8:30" x14ac:dyDescent="0.25"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8:30" x14ac:dyDescent="0.25"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8:30" x14ac:dyDescent="0.25"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8:30" x14ac:dyDescent="0.25"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8:30" x14ac:dyDescent="0.25"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8:30" x14ac:dyDescent="0.25"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8:30" x14ac:dyDescent="0.25"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8:30" x14ac:dyDescent="0.25"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8:30" x14ac:dyDescent="0.25"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8:30" x14ac:dyDescent="0.25"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8:30" x14ac:dyDescent="0.25"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8:30" x14ac:dyDescent="0.25"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8:30" x14ac:dyDescent="0.25"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8:30" x14ac:dyDescent="0.25"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8:30" x14ac:dyDescent="0.25"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8:30" x14ac:dyDescent="0.25"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8:30" x14ac:dyDescent="0.25"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8:30" x14ac:dyDescent="0.25"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8:30" x14ac:dyDescent="0.25"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8:30" x14ac:dyDescent="0.25"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8:30" x14ac:dyDescent="0.25"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8:30" x14ac:dyDescent="0.25"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8:30" x14ac:dyDescent="0.25"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8:30" x14ac:dyDescent="0.25"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8:30" x14ac:dyDescent="0.25"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8:30" x14ac:dyDescent="0.25"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8:30" x14ac:dyDescent="0.25"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8:30" x14ac:dyDescent="0.25"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8:30" x14ac:dyDescent="0.25"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8:30" x14ac:dyDescent="0.25"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8:30" x14ac:dyDescent="0.25"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8:30" x14ac:dyDescent="0.25"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8:30" x14ac:dyDescent="0.25"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8:30" x14ac:dyDescent="0.25"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8:30" x14ac:dyDescent="0.25"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8:30" x14ac:dyDescent="0.25"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8:30" x14ac:dyDescent="0.25"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8:30" x14ac:dyDescent="0.25"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8:30" x14ac:dyDescent="0.25"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8:30" x14ac:dyDescent="0.25"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8:30" x14ac:dyDescent="0.25"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8:30" x14ac:dyDescent="0.25"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8:30" x14ac:dyDescent="0.25"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8:30" x14ac:dyDescent="0.25"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8:30" x14ac:dyDescent="0.25"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8:30" x14ac:dyDescent="0.25"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8:30" x14ac:dyDescent="0.25"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8:30" x14ac:dyDescent="0.25"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8:30" x14ac:dyDescent="0.25"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8:30" x14ac:dyDescent="0.25"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8:30" x14ac:dyDescent="0.25"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8:30" x14ac:dyDescent="0.25"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8:30" x14ac:dyDescent="0.25"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8:30" x14ac:dyDescent="0.25"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8:30" x14ac:dyDescent="0.25"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8:30" x14ac:dyDescent="0.25"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8:30" x14ac:dyDescent="0.25"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8:30" x14ac:dyDescent="0.25"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8:30" x14ac:dyDescent="0.25"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8:30" x14ac:dyDescent="0.25"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8:30" x14ac:dyDescent="0.25"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8:30" x14ac:dyDescent="0.25"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8:30" x14ac:dyDescent="0.25"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8:30" x14ac:dyDescent="0.25"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8:30" x14ac:dyDescent="0.25"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8:30" x14ac:dyDescent="0.25"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8:30" x14ac:dyDescent="0.25"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8:30" x14ac:dyDescent="0.25"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8:30" x14ac:dyDescent="0.25"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8:30" x14ac:dyDescent="0.25"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8:30" x14ac:dyDescent="0.25"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8:30" x14ac:dyDescent="0.25"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8:30" x14ac:dyDescent="0.25"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8:30" x14ac:dyDescent="0.25"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8:30" x14ac:dyDescent="0.25"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8:30" x14ac:dyDescent="0.25"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8:30" x14ac:dyDescent="0.25"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8:30" x14ac:dyDescent="0.25"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8:30" x14ac:dyDescent="0.25"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8:30" x14ac:dyDescent="0.25"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8:30" x14ac:dyDescent="0.25"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8:30" x14ac:dyDescent="0.25"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8:30" x14ac:dyDescent="0.25"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8:30" x14ac:dyDescent="0.25"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8:30" x14ac:dyDescent="0.25"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8:30" x14ac:dyDescent="0.25"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8:30" x14ac:dyDescent="0.25"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8:30" x14ac:dyDescent="0.25"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8:30" x14ac:dyDescent="0.25"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8:30" x14ac:dyDescent="0.25"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8:30" x14ac:dyDescent="0.25"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8:30" x14ac:dyDescent="0.25"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8:30" x14ac:dyDescent="0.25"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8:30" x14ac:dyDescent="0.25"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8:30" x14ac:dyDescent="0.25"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8:30" x14ac:dyDescent="0.25"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8:30" x14ac:dyDescent="0.25"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8:30" x14ac:dyDescent="0.25"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8:30" x14ac:dyDescent="0.25"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8:30" x14ac:dyDescent="0.25"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8:30" x14ac:dyDescent="0.25"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8:30" x14ac:dyDescent="0.25"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8:30" x14ac:dyDescent="0.25"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8:30" x14ac:dyDescent="0.25"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8:30" x14ac:dyDescent="0.25"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8:30" x14ac:dyDescent="0.25"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8:30" x14ac:dyDescent="0.25"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8:30" x14ac:dyDescent="0.25"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8:30" x14ac:dyDescent="0.25"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8:30" x14ac:dyDescent="0.25"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8:30" x14ac:dyDescent="0.25"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8:30" x14ac:dyDescent="0.25"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8:30" x14ac:dyDescent="0.25"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8:30" x14ac:dyDescent="0.25"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8:30" x14ac:dyDescent="0.25"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8:30" x14ac:dyDescent="0.25"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8:30" x14ac:dyDescent="0.25"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8:30" x14ac:dyDescent="0.25"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8:30" x14ac:dyDescent="0.25"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8:30" x14ac:dyDescent="0.25"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8:30" x14ac:dyDescent="0.25"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8:30" x14ac:dyDescent="0.25"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8:30" x14ac:dyDescent="0.25"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8:30" x14ac:dyDescent="0.25"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8:30" x14ac:dyDescent="0.25"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8:30" x14ac:dyDescent="0.25"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8:30" x14ac:dyDescent="0.25"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8:30" x14ac:dyDescent="0.25"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8:30" x14ac:dyDescent="0.25"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8:30" x14ac:dyDescent="0.25"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8:30" x14ac:dyDescent="0.25"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8:30" x14ac:dyDescent="0.25"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8:30" x14ac:dyDescent="0.25"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8:30" x14ac:dyDescent="0.25"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8:30" x14ac:dyDescent="0.25"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8:30" x14ac:dyDescent="0.25"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8:30" x14ac:dyDescent="0.25"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8:30" x14ac:dyDescent="0.25"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8:30" x14ac:dyDescent="0.25"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8:30" x14ac:dyDescent="0.25"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8:30" x14ac:dyDescent="0.25"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8:30" x14ac:dyDescent="0.25"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8:30" x14ac:dyDescent="0.25"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8:30" x14ac:dyDescent="0.25"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8:30" x14ac:dyDescent="0.25"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8:30" x14ac:dyDescent="0.25"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8:30" x14ac:dyDescent="0.25"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8:30" x14ac:dyDescent="0.25"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8:30" x14ac:dyDescent="0.25"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8:30" x14ac:dyDescent="0.25"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8:30" x14ac:dyDescent="0.25"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8:30" x14ac:dyDescent="0.25"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8:30" x14ac:dyDescent="0.25"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8:30" x14ac:dyDescent="0.25"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8:30" x14ac:dyDescent="0.25"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8:30" x14ac:dyDescent="0.25"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8:30" x14ac:dyDescent="0.25"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8:30" x14ac:dyDescent="0.25"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8:30" x14ac:dyDescent="0.25"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8:30" x14ac:dyDescent="0.25"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8:30" x14ac:dyDescent="0.25"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8:30" x14ac:dyDescent="0.25"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8:30" x14ac:dyDescent="0.25"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8:30" x14ac:dyDescent="0.25"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8:30" x14ac:dyDescent="0.25"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8:30" x14ac:dyDescent="0.25"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8:30" x14ac:dyDescent="0.25"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8:30" x14ac:dyDescent="0.25"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8:30" x14ac:dyDescent="0.25"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8:30" x14ac:dyDescent="0.25"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8:30" x14ac:dyDescent="0.25"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8:30" x14ac:dyDescent="0.25"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8:30" x14ac:dyDescent="0.25"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8:30" x14ac:dyDescent="0.25"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8:30" x14ac:dyDescent="0.25"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8:30" x14ac:dyDescent="0.25"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8:30" x14ac:dyDescent="0.25"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8:30" x14ac:dyDescent="0.25"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8:30" x14ac:dyDescent="0.25"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8:30" x14ac:dyDescent="0.25"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8:30" x14ac:dyDescent="0.25"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8:30" x14ac:dyDescent="0.25"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8:30" x14ac:dyDescent="0.25"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8:30" x14ac:dyDescent="0.25"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8:30" x14ac:dyDescent="0.25"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8:30" x14ac:dyDescent="0.25"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8:30" x14ac:dyDescent="0.25"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8:30" x14ac:dyDescent="0.25"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8:30" x14ac:dyDescent="0.25"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8:30" x14ac:dyDescent="0.25"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8:30" x14ac:dyDescent="0.25"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8:30" x14ac:dyDescent="0.25"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8:30" x14ac:dyDescent="0.25"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8:30" x14ac:dyDescent="0.25"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8:30" x14ac:dyDescent="0.25"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8:30" x14ac:dyDescent="0.25"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8:30" x14ac:dyDescent="0.25"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8:30" x14ac:dyDescent="0.25"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8:30" x14ac:dyDescent="0.25"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8:30" x14ac:dyDescent="0.25"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8:30" x14ac:dyDescent="0.25"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8:30" x14ac:dyDescent="0.25"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8:30" x14ac:dyDescent="0.25"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8:30" x14ac:dyDescent="0.25"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8:30" x14ac:dyDescent="0.25"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8:30" x14ac:dyDescent="0.25"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8:30" x14ac:dyDescent="0.25"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8:30" x14ac:dyDescent="0.25"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8:30" x14ac:dyDescent="0.25"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8:30" x14ac:dyDescent="0.25"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8:30" x14ac:dyDescent="0.25"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8:30" x14ac:dyDescent="0.25"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8:30" x14ac:dyDescent="0.25"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8:30" x14ac:dyDescent="0.25"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8:30" x14ac:dyDescent="0.25"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8:30" x14ac:dyDescent="0.25"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8:30" x14ac:dyDescent="0.25"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8:30" x14ac:dyDescent="0.25"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8:30" x14ac:dyDescent="0.25"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8:30" x14ac:dyDescent="0.25"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8:30" x14ac:dyDescent="0.25"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8:30" x14ac:dyDescent="0.25"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8:30" x14ac:dyDescent="0.25"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8:30" x14ac:dyDescent="0.25"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8:30" x14ac:dyDescent="0.25"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8:30" x14ac:dyDescent="0.25"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8:30" x14ac:dyDescent="0.25"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8:30" x14ac:dyDescent="0.25"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8:30" x14ac:dyDescent="0.25"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8:30" x14ac:dyDescent="0.25"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8:30" x14ac:dyDescent="0.25"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8:30" x14ac:dyDescent="0.25"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8:30" x14ac:dyDescent="0.25"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8:30" x14ac:dyDescent="0.25"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8:30" x14ac:dyDescent="0.25"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8:30" x14ac:dyDescent="0.25"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8:30" x14ac:dyDescent="0.25"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8:30" x14ac:dyDescent="0.25"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8:30" x14ac:dyDescent="0.25"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8:30" x14ac:dyDescent="0.25"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8:30" x14ac:dyDescent="0.25"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8:30" x14ac:dyDescent="0.25"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8:30" x14ac:dyDescent="0.25"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8:30" x14ac:dyDescent="0.25"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8:30" x14ac:dyDescent="0.25"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8:30" x14ac:dyDescent="0.25"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8:30" x14ac:dyDescent="0.25"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8:30" x14ac:dyDescent="0.25"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8:30" x14ac:dyDescent="0.25"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8:30" x14ac:dyDescent="0.25"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8:30" x14ac:dyDescent="0.25"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8:30" x14ac:dyDescent="0.25"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8:30" x14ac:dyDescent="0.25"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8:30" x14ac:dyDescent="0.25"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8:30" x14ac:dyDescent="0.25"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8:30" x14ac:dyDescent="0.25"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8:30" x14ac:dyDescent="0.25"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8:30" x14ac:dyDescent="0.25"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8:30" x14ac:dyDescent="0.25"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8:30" x14ac:dyDescent="0.25"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8:30" x14ac:dyDescent="0.25"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8:30" x14ac:dyDescent="0.25"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8:30" x14ac:dyDescent="0.25"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8:30" x14ac:dyDescent="0.25"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8:30" x14ac:dyDescent="0.25"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8:30" x14ac:dyDescent="0.25"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8:30" x14ac:dyDescent="0.25"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8:30" x14ac:dyDescent="0.25"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8:30" x14ac:dyDescent="0.25"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8:30" x14ac:dyDescent="0.25"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8:30" x14ac:dyDescent="0.25"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8:30" x14ac:dyDescent="0.25"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8:30" x14ac:dyDescent="0.25"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8:30" x14ac:dyDescent="0.25"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8:30" x14ac:dyDescent="0.25"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8:30" x14ac:dyDescent="0.25"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8:30" x14ac:dyDescent="0.25"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8:30" x14ac:dyDescent="0.25"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8:30" x14ac:dyDescent="0.25"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8:30" x14ac:dyDescent="0.25"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8:30" x14ac:dyDescent="0.25"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8:30" x14ac:dyDescent="0.25"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8:30" x14ac:dyDescent="0.25"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8:30" x14ac:dyDescent="0.25"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8:30" x14ac:dyDescent="0.25"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8:30" x14ac:dyDescent="0.25"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8:30" x14ac:dyDescent="0.25"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8:30" x14ac:dyDescent="0.25"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8:30" x14ac:dyDescent="0.25"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8:30" x14ac:dyDescent="0.25"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8:30" x14ac:dyDescent="0.25"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8:30" x14ac:dyDescent="0.25"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8:30" x14ac:dyDescent="0.25"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8:30" x14ac:dyDescent="0.25"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8:30" x14ac:dyDescent="0.25"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8:30" x14ac:dyDescent="0.25"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8:30" x14ac:dyDescent="0.25"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8:30" x14ac:dyDescent="0.25"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8:30" x14ac:dyDescent="0.25"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8:30" x14ac:dyDescent="0.25"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8:30" x14ac:dyDescent="0.25"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8:30" x14ac:dyDescent="0.25"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8:30" x14ac:dyDescent="0.25"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8:30" x14ac:dyDescent="0.25"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8:30" x14ac:dyDescent="0.25"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8:30" x14ac:dyDescent="0.25"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8:30" x14ac:dyDescent="0.25"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8:30" x14ac:dyDescent="0.25"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8:30" x14ac:dyDescent="0.25"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8:30" x14ac:dyDescent="0.25"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8:30" x14ac:dyDescent="0.25"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8:30" x14ac:dyDescent="0.25"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8:30" x14ac:dyDescent="0.25"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8:30" x14ac:dyDescent="0.25"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8:30" x14ac:dyDescent="0.25"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8:30" x14ac:dyDescent="0.25"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8:30" x14ac:dyDescent="0.25"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8:30" x14ac:dyDescent="0.25"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8:30" x14ac:dyDescent="0.25"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8:30" x14ac:dyDescent="0.25"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8:30" x14ac:dyDescent="0.25"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8:30" x14ac:dyDescent="0.25"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8:30" x14ac:dyDescent="0.25"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8:30" x14ac:dyDescent="0.25"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8:30" x14ac:dyDescent="0.25"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8:30" x14ac:dyDescent="0.25"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8:30" x14ac:dyDescent="0.25"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8:30" x14ac:dyDescent="0.25"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8:30" x14ac:dyDescent="0.25"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8:30" x14ac:dyDescent="0.25"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8:30" x14ac:dyDescent="0.25"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8:30" x14ac:dyDescent="0.25"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8:30" x14ac:dyDescent="0.25"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8:30" x14ac:dyDescent="0.25"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8:30" x14ac:dyDescent="0.25"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8:30" x14ac:dyDescent="0.25"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8:30" x14ac:dyDescent="0.25"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8:30" x14ac:dyDescent="0.25"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8:30" x14ac:dyDescent="0.25"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8:30" x14ac:dyDescent="0.25"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8:30" x14ac:dyDescent="0.25"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8:30" x14ac:dyDescent="0.25"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8:30" x14ac:dyDescent="0.25"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8:30" x14ac:dyDescent="0.25"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8:30" x14ac:dyDescent="0.25"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8:30" x14ac:dyDescent="0.25"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8:30" x14ac:dyDescent="0.25"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8:30" x14ac:dyDescent="0.25"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8:30" x14ac:dyDescent="0.25"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8:30" x14ac:dyDescent="0.25"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8:30" x14ac:dyDescent="0.25"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8:30" x14ac:dyDescent="0.25"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8:30" x14ac:dyDescent="0.25"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8:30" x14ac:dyDescent="0.25"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8:30" x14ac:dyDescent="0.25"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8:30" x14ac:dyDescent="0.25"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8:30" x14ac:dyDescent="0.25"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8:30" x14ac:dyDescent="0.25"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8:30" x14ac:dyDescent="0.25"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8:30" x14ac:dyDescent="0.25"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8:30" x14ac:dyDescent="0.25"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8:30" x14ac:dyDescent="0.25"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8:30" x14ac:dyDescent="0.25"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8:30" x14ac:dyDescent="0.25"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8:30" x14ac:dyDescent="0.25"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8:30" x14ac:dyDescent="0.25"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8:30" x14ac:dyDescent="0.25"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8:30" x14ac:dyDescent="0.25"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8:30" x14ac:dyDescent="0.25"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8:30" x14ac:dyDescent="0.25"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8:30" x14ac:dyDescent="0.25"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8:30" x14ac:dyDescent="0.25"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8:30" x14ac:dyDescent="0.25"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8:30" x14ac:dyDescent="0.25"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8:30" x14ac:dyDescent="0.25"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8:30" x14ac:dyDescent="0.25"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8:30" x14ac:dyDescent="0.25"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8:30" x14ac:dyDescent="0.25"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8:30" x14ac:dyDescent="0.25"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8:30" x14ac:dyDescent="0.25"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8:30" x14ac:dyDescent="0.25"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8:30" x14ac:dyDescent="0.25"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8:30" x14ac:dyDescent="0.25"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8:30" x14ac:dyDescent="0.25"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8:30" x14ac:dyDescent="0.25"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8:30" x14ac:dyDescent="0.25"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8:30" x14ac:dyDescent="0.25"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8:30" x14ac:dyDescent="0.25"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8:30" x14ac:dyDescent="0.25"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8:30" x14ac:dyDescent="0.25"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8:30" x14ac:dyDescent="0.25"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8:30" x14ac:dyDescent="0.25"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8:30" x14ac:dyDescent="0.25"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8:30" x14ac:dyDescent="0.25"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8:30" x14ac:dyDescent="0.25"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8:30" x14ac:dyDescent="0.25"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8:30" x14ac:dyDescent="0.25"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8:30" x14ac:dyDescent="0.25"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8:30" x14ac:dyDescent="0.25"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8:30" x14ac:dyDescent="0.25"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8:30" x14ac:dyDescent="0.25"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8:30" x14ac:dyDescent="0.25"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8:30" x14ac:dyDescent="0.25"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8:30" x14ac:dyDescent="0.25"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8:30" x14ac:dyDescent="0.25"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8:30" x14ac:dyDescent="0.25"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8:30" x14ac:dyDescent="0.25"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8:30" x14ac:dyDescent="0.25"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8:30" x14ac:dyDescent="0.25"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8:30" x14ac:dyDescent="0.25"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8:30" x14ac:dyDescent="0.25"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8:30" x14ac:dyDescent="0.25"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8:30" x14ac:dyDescent="0.25"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8:30" x14ac:dyDescent="0.25"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8:30" x14ac:dyDescent="0.25"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8:30" x14ac:dyDescent="0.25"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8:30" x14ac:dyDescent="0.25"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8:30" x14ac:dyDescent="0.25"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8:30" x14ac:dyDescent="0.25"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8:30" x14ac:dyDescent="0.25"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8:30" x14ac:dyDescent="0.25"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8:30" x14ac:dyDescent="0.25"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8:30" x14ac:dyDescent="0.25"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8:30" x14ac:dyDescent="0.25"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8:30" x14ac:dyDescent="0.25"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8:30" x14ac:dyDescent="0.25"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8:30" x14ac:dyDescent="0.25"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8:30" x14ac:dyDescent="0.25"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8:30" x14ac:dyDescent="0.25"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8:30" x14ac:dyDescent="0.25"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8:30" x14ac:dyDescent="0.25"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8:30" x14ac:dyDescent="0.25"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8:30" x14ac:dyDescent="0.25"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8:30" x14ac:dyDescent="0.25"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8:30" x14ac:dyDescent="0.25"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8:30" x14ac:dyDescent="0.25"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8:30" x14ac:dyDescent="0.25"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8:30" x14ac:dyDescent="0.25"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8:30" x14ac:dyDescent="0.25"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8:30" x14ac:dyDescent="0.25"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8:30" x14ac:dyDescent="0.25"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8:30" x14ac:dyDescent="0.25"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8:30" x14ac:dyDescent="0.25"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8:30" x14ac:dyDescent="0.25"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8:30" x14ac:dyDescent="0.25"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8:30" x14ac:dyDescent="0.25"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8:30" x14ac:dyDescent="0.25"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8:30" x14ac:dyDescent="0.25"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8:30" x14ac:dyDescent="0.25"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8:30" x14ac:dyDescent="0.25"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8:30" x14ac:dyDescent="0.25"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8:30" x14ac:dyDescent="0.25"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8:30" x14ac:dyDescent="0.25"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8:30" x14ac:dyDescent="0.25"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8:30" x14ac:dyDescent="0.25"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8:30" x14ac:dyDescent="0.25"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8:30" x14ac:dyDescent="0.25"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8:30" x14ac:dyDescent="0.25"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8:30" x14ac:dyDescent="0.25"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8:30" x14ac:dyDescent="0.25"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8:30" x14ac:dyDescent="0.25"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8:30" x14ac:dyDescent="0.25"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8:30" x14ac:dyDescent="0.25"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8:30" x14ac:dyDescent="0.25"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8:30" x14ac:dyDescent="0.25"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8:30" x14ac:dyDescent="0.25"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8:30" x14ac:dyDescent="0.25"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8:30" x14ac:dyDescent="0.25"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8:30" x14ac:dyDescent="0.25"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8:30" x14ac:dyDescent="0.25"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8:30" x14ac:dyDescent="0.25"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8:30" x14ac:dyDescent="0.25"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8:30" x14ac:dyDescent="0.25"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8:30" x14ac:dyDescent="0.25"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8:30" x14ac:dyDescent="0.25"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8:30" x14ac:dyDescent="0.25"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8:30" x14ac:dyDescent="0.25"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8:30" x14ac:dyDescent="0.25"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8:30" x14ac:dyDescent="0.25"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8:30" x14ac:dyDescent="0.25"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8:30" x14ac:dyDescent="0.25"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8:30" x14ac:dyDescent="0.25"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8:30" x14ac:dyDescent="0.25"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8:30" x14ac:dyDescent="0.25"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8:30" x14ac:dyDescent="0.25"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8:30" x14ac:dyDescent="0.25"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8:30" x14ac:dyDescent="0.25"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8:30" x14ac:dyDescent="0.25"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8:30" x14ac:dyDescent="0.25"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8:30" x14ac:dyDescent="0.25"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8:30" x14ac:dyDescent="0.25"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8:30" x14ac:dyDescent="0.25"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8:30" x14ac:dyDescent="0.25"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8:30" x14ac:dyDescent="0.25"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8:30" x14ac:dyDescent="0.25"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8:30" x14ac:dyDescent="0.25"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8:30" x14ac:dyDescent="0.25"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8:30" x14ac:dyDescent="0.25"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8:30" x14ac:dyDescent="0.25"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8:30" x14ac:dyDescent="0.25"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8:30" x14ac:dyDescent="0.25"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8:30" x14ac:dyDescent="0.25"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8:30" x14ac:dyDescent="0.25"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8:30" x14ac:dyDescent="0.25"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8:30" x14ac:dyDescent="0.25"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8:30" x14ac:dyDescent="0.25"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8:30" x14ac:dyDescent="0.25"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8:30" x14ac:dyDescent="0.25"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8:30" x14ac:dyDescent="0.25"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8:30" x14ac:dyDescent="0.25"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8:30" x14ac:dyDescent="0.25"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8:30" x14ac:dyDescent="0.25"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8:30" x14ac:dyDescent="0.25"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8:30" x14ac:dyDescent="0.25"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8:30" x14ac:dyDescent="0.25"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8:30" x14ac:dyDescent="0.25"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8:30" x14ac:dyDescent="0.25"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8:30" x14ac:dyDescent="0.25"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8:30" x14ac:dyDescent="0.25"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8:30" x14ac:dyDescent="0.25"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8:30" x14ac:dyDescent="0.25"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8:30" x14ac:dyDescent="0.25"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8:30" x14ac:dyDescent="0.25"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8:30" x14ac:dyDescent="0.25"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8:30" x14ac:dyDescent="0.25"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8:30" x14ac:dyDescent="0.25"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8:30" x14ac:dyDescent="0.25"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8:30" x14ac:dyDescent="0.25"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8:30" x14ac:dyDescent="0.25"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8:30" x14ac:dyDescent="0.25"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8:30" x14ac:dyDescent="0.25"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8:30" x14ac:dyDescent="0.25"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8:30" x14ac:dyDescent="0.25"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8:30" x14ac:dyDescent="0.25"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8:30" x14ac:dyDescent="0.25"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8:30" x14ac:dyDescent="0.25"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8:30" x14ac:dyDescent="0.25"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8:30" x14ac:dyDescent="0.25"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8:30" x14ac:dyDescent="0.25"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8:30" x14ac:dyDescent="0.25"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8:30" x14ac:dyDescent="0.25"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8:30" x14ac:dyDescent="0.25"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8:30" x14ac:dyDescent="0.25"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8:30" x14ac:dyDescent="0.25"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8:30" x14ac:dyDescent="0.25"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8:30" x14ac:dyDescent="0.25"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8:30" x14ac:dyDescent="0.25"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8:30" x14ac:dyDescent="0.25"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8:30" x14ac:dyDescent="0.25"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8:30" x14ac:dyDescent="0.25"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8:30" x14ac:dyDescent="0.25"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8:30" x14ac:dyDescent="0.25"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8:30" x14ac:dyDescent="0.25"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8:30" x14ac:dyDescent="0.25"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8:30" x14ac:dyDescent="0.25"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8:30" x14ac:dyDescent="0.25"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8:30" x14ac:dyDescent="0.25"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8:30" x14ac:dyDescent="0.25"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8:30" x14ac:dyDescent="0.25"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8:30" x14ac:dyDescent="0.25"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8:30" x14ac:dyDescent="0.25"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8:30" x14ac:dyDescent="0.25"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8:30" x14ac:dyDescent="0.25"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8:30" x14ac:dyDescent="0.25"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8:30" x14ac:dyDescent="0.25"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8:30" x14ac:dyDescent="0.25"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8:30" x14ac:dyDescent="0.25"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8:30" x14ac:dyDescent="0.25"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8:30" x14ac:dyDescent="0.25"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8:30" x14ac:dyDescent="0.25"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8:30" x14ac:dyDescent="0.25"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8:30" x14ac:dyDescent="0.25"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8:30" x14ac:dyDescent="0.25"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8:30" x14ac:dyDescent="0.25"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8:30" x14ac:dyDescent="0.25"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8:30" x14ac:dyDescent="0.25"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8:30" x14ac:dyDescent="0.25"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8:30" x14ac:dyDescent="0.25"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8:30" x14ac:dyDescent="0.25"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8:30" x14ac:dyDescent="0.25"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8:30" x14ac:dyDescent="0.25"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8:30" x14ac:dyDescent="0.25"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8:30" x14ac:dyDescent="0.25"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8:30" x14ac:dyDescent="0.25"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8:30" x14ac:dyDescent="0.25"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8:30" x14ac:dyDescent="0.25"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8:30" x14ac:dyDescent="0.25"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8:30" x14ac:dyDescent="0.25"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8:30" x14ac:dyDescent="0.25"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8:30" x14ac:dyDescent="0.25"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8:30" x14ac:dyDescent="0.25"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8:30" x14ac:dyDescent="0.25"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8:30" x14ac:dyDescent="0.25"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8:30" x14ac:dyDescent="0.25"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8:30" x14ac:dyDescent="0.25"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8:30" x14ac:dyDescent="0.25"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8:30" x14ac:dyDescent="0.25"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8:30" x14ac:dyDescent="0.25"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8:30" x14ac:dyDescent="0.25"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8:30" x14ac:dyDescent="0.25"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8:30" x14ac:dyDescent="0.25"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8:30" x14ac:dyDescent="0.25"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8:30" x14ac:dyDescent="0.25"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8:30" x14ac:dyDescent="0.25"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8:30" x14ac:dyDescent="0.25"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8:30" x14ac:dyDescent="0.25"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8:30" x14ac:dyDescent="0.25"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8:30" x14ac:dyDescent="0.25"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8:30" x14ac:dyDescent="0.25"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8:30" x14ac:dyDescent="0.25"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8:30" x14ac:dyDescent="0.25"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8:30" x14ac:dyDescent="0.25"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8:30" x14ac:dyDescent="0.25"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8:30" x14ac:dyDescent="0.25"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8:30" x14ac:dyDescent="0.25"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8:30" x14ac:dyDescent="0.25"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8:30" x14ac:dyDescent="0.25"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8:30" x14ac:dyDescent="0.25"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8:30" x14ac:dyDescent="0.25"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8:30" x14ac:dyDescent="0.25"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8:30" x14ac:dyDescent="0.25"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8:30" x14ac:dyDescent="0.25"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8:30" x14ac:dyDescent="0.25"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8:30" x14ac:dyDescent="0.25"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8:30" x14ac:dyDescent="0.25"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8:30" x14ac:dyDescent="0.25"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8:30" x14ac:dyDescent="0.25"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8:30" x14ac:dyDescent="0.25"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8:30" x14ac:dyDescent="0.25"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8:30" x14ac:dyDescent="0.25"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8:30" x14ac:dyDescent="0.25"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8:30" x14ac:dyDescent="0.25"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8:30" x14ac:dyDescent="0.25"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8:30" x14ac:dyDescent="0.25"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8:30" x14ac:dyDescent="0.25"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8:30" x14ac:dyDescent="0.25"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8:30" x14ac:dyDescent="0.25"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8:30" x14ac:dyDescent="0.25"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8:30" x14ac:dyDescent="0.25"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8:30" x14ac:dyDescent="0.25"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8:30" x14ac:dyDescent="0.25"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8:30" x14ac:dyDescent="0.25"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8:30" x14ac:dyDescent="0.25"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8:30" x14ac:dyDescent="0.25"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8:30" x14ac:dyDescent="0.25"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8:30" x14ac:dyDescent="0.25"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8:30" x14ac:dyDescent="0.25"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8:30" x14ac:dyDescent="0.25"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8:30" x14ac:dyDescent="0.25"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8:30" x14ac:dyDescent="0.25"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8:30" x14ac:dyDescent="0.25"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8:30" x14ac:dyDescent="0.25"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8:30" x14ac:dyDescent="0.25"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8:30" x14ac:dyDescent="0.25"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8:30" x14ac:dyDescent="0.25"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8:30" x14ac:dyDescent="0.25"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8:30" x14ac:dyDescent="0.25"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8:30" x14ac:dyDescent="0.25"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8:30" x14ac:dyDescent="0.25"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8:30" x14ac:dyDescent="0.25"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8:30" x14ac:dyDescent="0.25"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8:30" x14ac:dyDescent="0.25"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8:30" x14ac:dyDescent="0.25"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8:30" x14ac:dyDescent="0.25"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8:30" x14ac:dyDescent="0.25"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8:30" x14ac:dyDescent="0.25"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8:30" x14ac:dyDescent="0.25"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8:30" x14ac:dyDescent="0.25"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8:30" x14ac:dyDescent="0.25"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8:30" x14ac:dyDescent="0.25"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8:30" x14ac:dyDescent="0.25"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8:30" x14ac:dyDescent="0.25"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8:30" x14ac:dyDescent="0.25"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8:30" x14ac:dyDescent="0.25"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8:30" x14ac:dyDescent="0.25"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8:30" x14ac:dyDescent="0.25"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8:30" x14ac:dyDescent="0.25"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8:30" x14ac:dyDescent="0.25"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8:30" x14ac:dyDescent="0.25"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8:30" x14ac:dyDescent="0.25"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8:30" x14ac:dyDescent="0.25"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8:30" x14ac:dyDescent="0.25"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8:30" x14ac:dyDescent="0.25"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8:30" x14ac:dyDescent="0.25"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8:30" x14ac:dyDescent="0.25"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8:30" x14ac:dyDescent="0.25"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8:30" x14ac:dyDescent="0.25"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8:30" x14ac:dyDescent="0.25"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8:30" x14ac:dyDescent="0.25"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8:30" x14ac:dyDescent="0.25"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8:30" x14ac:dyDescent="0.25"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8:30" x14ac:dyDescent="0.25"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8:30" x14ac:dyDescent="0.25"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8:30" x14ac:dyDescent="0.25"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Import</vt:lpstr>
      <vt:lpstr>Purposes</vt:lpstr>
      <vt:lpstr>Parameters</vt:lpstr>
      <vt:lpstr>__MunexImport_2</vt:lpstr>
      <vt:lpstr>__MunexImport_3</vt:lpstr>
      <vt:lpstr>__MunexImport_4</vt:lpstr>
      <vt:lpstr>__MunexImport_5</vt:lpstr>
      <vt:lpstr>__MunexImport_6</vt:lpstr>
      <vt:lpstr>__MunexImport_7</vt:lpstr>
      <vt:lpstr>__MunexImport_8</vt:lpstr>
      <vt:lpstr>__MunexImport_9</vt:lpstr>
      <vt:lpstr>Issues</vt:lpstr>
      <vt:lpstr>adoDatabase</vt:lpstr>
      <vt:lpstr>adoServer</vt:lpstr>
      <vt:lpstr>connectionTest</vt:lpstr>
      <vt:lpstr>IssueAmount</vt:lpstr>
      <vt:lpstr>IssueData</vt:lpstr>
      <vt:lpstr>IssueID</vt:lpstr>
      <vt:lpstr>IssueName</vt:lpstr>
      <vt:lpstr>Issuer</vt:lpstr>
      <vt:lpstr>MunexFileName</vt:lpstr>
      <vt:lpstr>ProductionDatabase</vt:lpstr>
      <vt:lpstr>ProductionServer</vt:lpstr>
      <vt:lpstr>purpose1</vt:lpstr>
      <vt:lpstr>purpose2</vt:lpstr>
      <vt:lpstr>purpose3</vt:lpstr>
      <vt:lpstr>purpose4</vt:lpstr>
      <vt:lpstr>purpose5</vt:lpstr>
      <vt:lpstr>purpose6</vt:lpstr>
      <vt:lpstr>purpose7</vt:lpstr>
      <vt:lpstr>purpose8</vt:lpstr>
      <vt:lpstr>purpose9</vt:lpstr>
      <vt:lpstr>Purposes</vt:lpstr>
      <vt:lpstr>SaleDate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dcterms:created xsi:type="dcterms:W3CDTF">2013-01-30T12:12:34Z</dcterms:created>
  <dcterms:modified xsi:type="dcterms:W3CDTF">2013-02-06T13:24:29Z</dcterms:modified>
</cp:coreProperties>
</file>